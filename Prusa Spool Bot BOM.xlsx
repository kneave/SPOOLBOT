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2"/>
    <sheet name="Loom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<sst xmlns="http://schemas.openxmlformats.org/spreadsheetml/2006/main" count="71" uniqueCount="70">
  <si>
    <t xml:space="preserve">Prusa Spool Bot BOM</t>
  </si>
  <si>
    <t xml:space="preserve">Part</t>
  </si>
  <si>
    <t xml:space="preserve">Description</t>
  </si>
  <si>
    <t xml:space="preserve">Qty</t>
  </si>
  <si>
    <t xml:space="preserve">Cost</t>
  </si>
  <si>
    <t xml:space="preserve">Sub</t>
  </si>
  <si>
    <t xml:space="preserve">Notes / Link</t>
  </si>
  <si>
    <t xml:space="preserve">55x68x7mm Bearing 61711 </t>
  </si>
  <si>
    <t xml:space="preserve">https://simplybearings.co.uk/shop/p188629/61711-Budget-Open-Type-Thin-Section-Deep-Groove-Ball-Bearing-55x68x7mm/product_info.html</t>
  </si>
  <si>
    <t xml:space="preserve">10x3x4 Bearing</t>
  </si>
  <si>
    <t xml:space="preserve">https://simplybearings.co.uk/shop/p170604/623ZZ-Budget-Metal-Shielded-Deep-Groove-Ball-Bearing-3x10x4mm/product_info.html</t>
  </si>
  <si>
    <t xml:space="preserve">Motor/Encoder</t>
  </si>
  <si>
    <t xml:space="preserve">https://www.pololu.com/product/4862</t>
  </si>
  <si>
    <t xml:space="preserve">Hub Adapter</t>
  </si>
  <si>
    <t xml:space="preserve">https://www.pololu.com/product/1997</t>
  </si>
  <si>
    <t xml:space="preserve">M3 Button Head Set</t>
  </si>
  <si>
    <t xml:space="preserve">https://amzn.to/4q6ULh3</t>
  </si>
  <si>
    <t xml:space="preserve">M3x6 Button Head Socket</t>
  </si>
  <si>
    <t xml:space="preserve">M3x12 Button Head</t>
  </si>
  <si>
    <t xml:space="preserve">M3x7x0.5 washer</t>
  </si>
  <si>
    <t xml:space="preserve">M3 Counter Sunk Set</t>
  </si>
  <si>
    <t xml:space="preserve">https://amzn.to/4ragjKA</t>
  </si>
  <si>
    <t xml:space="preserve">M3x6 CS Screw </t>
  </si>
  <si>
    <t xml:space="preserve">M3x20 CS Socket </t>
  </si>
  <si>
    <t xml:space="preserve">M3 Hex Nut</t>
  </si>
  <si>
    <t xml:space="preserve">M4 Cap Head Set</t>
  </si>
  <si>
    <t xml:space="preserve">https://amzn.to/4qMgcFp</t>
  </si>
  <si>
    <t xml:space="preserve">M4x25 Cap Head</t>
  </si>
  <si>
    <t xml:space="preserve">M4x5 Black cap head</t>
  </si>
  <si>
    <t xml:space="preserve">https://amzn.to/45wr8ye</t>
  </si>
  <si>
    <t xml:space="preserve">M4x8 CS + Nut Black</t>
  </si>
  <si>
    <t xml:space="preserve">https://amzn.to/45ueRdQ</t>
  </si>
  <si>
    <t xml:space="preserve">M4 Square Nut</t>
  </si>
  <si>
    <t xml:space="preserve">M4 Hex Nut</t>
  </si>
  <si>
    <t xml:space="preserve">No.2 x 6.4mm Screw</t>
  </si>
  <si>
    <t xml:space="preserve">https://amzn.to/4bmNia4</t>
  </si>
  <si>
    <t xml:space="preserve">12x3x4 Magnets</t>
  </si>
  <si>
    <t xml:space="preserve">https://amzn.to/4sokrs0</t>
  </si>
  <si>
    <t xml:space="preserve">10x3x3 Magnets</t>
  </si>
  <si>
    <t xml:space="preserve">https://amzn.to/4qDw7Wc</t>
  </si>
  <si>
    <t xml:space="preserve">50mm Goolgy Eyes</t>
  </si>
  <si>
    <t xml:space="preserve">https://amzn.to/3YJqABu</t>
  </si>
  <si>
    <t xml:space="preserve">M3 Heat Insert</t>
  </si>
  <si>
    <t xml:space="preserve">M4 Heat Insert</t>
  </si>
  <si>
    <t xml:space="preserve">DF Robot Romeo ESP32</t>
  </si>
  <si>
    <t xml:space="preserve">https://uk.farnell.com/dfrobot/dfr1063/romeo-mini-control-board-esp32/dp/4457374</t>
  </si>
  <si>
    <t xml:space="preserve">6A Toggle Switch (ON-ON)</t>
  </si>
  <si>
    <t xml:space="preserve">https://amzn.to/3YJVCch</t>
  </si>
  <si>
    <t xml:space="preserve">18 AWG silicone wire</t>
  </si>
  <si>
    <t xml:space="preserve">https://amzn.to/4qwDm1Z</t>
  </si>
  <si>
    <t xml:space="preserve">XT60 Male Connector</t>
  </si>
  <si>
    <t xml:space="preserve">https://amzn.to/4bJrepZ</t>
  </si>
  <si>
    <t xml:space="preserve">Jumper F-F 100mm</t>
  </si>
  <si>
    <t xml:space="preserve">https://amzn.to/49Qc7sr</t>
  </si>
  <si>
    <t xml:space="preserve">QWIK Connector Jumper</t>
  </si>
  <si>
    <t xml:space="preserve">https://thepihut.com/products/stemma-qt-qwiic-jst-sh-4-pin-cable-with-premium-female-sockets-150mm-long</t>
  </si>
  <si>
    <t xml:space="preserve">6V NiMh Battery Hump Back</t>
  </si>
  <si>
    <t xml:space="preserve">https://www.componentshop.co.uk/6v-3300mah-sc-nimh-hump-rc-battery-pack-vapex.html</t>
  </si>
  <si>
    <t xml:space="preserve">Adafruit BNO085</t>
  </si>
  <si>
    <t xml:space="preserve">https://amzn.to/4rjBVnJ</t>
  </si>
  <si>
    <t xml:space="preserve">JST Connector Kit</t>
  </si>
  <si>
    <t xml:space="preserve">Prusament PLA</t>
  </si>
  <si>
    <t xml:space="preserve">Prusament PETG</t>
  </si>
  <si>
    <t xml:space="preserve">LOOM</t>
  </si>
  <si>
    <t xml:space="preserve">Main black and red wire between connectors 300mm long</t>
  </si>
  <si>
    <t xml:space="preserve">Short red wire from XT60 to switch middle pin 110mm</t>
  </si>
  <si>
    <t xml:space="preserve">Red power wire to terminal block 250mm cut to length</t>
  </si>
  <si>
    <t xml:space="preserve">Black charge wire from negative 200mm cut to length</t>
  </si>
  <si>
    <t xml:space="preserve">Black power wire from negative 200mm cut to length</t>
  </si>
  <si>
    <t xml:space="preserve">Red charge wire from switch 150mm cut to length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</si>
</sst>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£-809]#,##0.00;[RED]\-[$£-809]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name val="Arial"/>
      <family val="2"/>
      <charset val="1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2" width="25.58"/>
    <col collapsed="false" customWidth="false" hidden="false" outlineLevel="0" max="5" min="4" style="3" width="11.53"/>
    <col collapsed="false" customWidth="true" hidden="false" outlineLevel="0" max="6" min="6" style="2" width="115.44"/>
    <col collapsed="false" customWidth="true" hidden="false" outlineLevel="0" max="7" min="7" style="2" width="23.79"/>
  </cols>
  <sheetData>
    <row r="1" customFormat="false" ht="18.55" hidden="false" customHeight="false" outlineLevel="0" collapsed="false">
      <c r="A1" s="4" t="s">
        <v>0</v>
      </c>
    </row>
    <row r="4" customFormat="false" ht="12.8" hidden="false" customHeight="false" outlineLevel="0" collapsed="false">
      <c r="A4" s="5" t="s">
        <v>1</v>
      </c>
      <c r="B4" s="2" t="s">
        <v>2</v>
      </c>
      <c r="C4" s="2" t="s">
        <v>3</v>
      </c>
      <c r="D4" s="3" t="s">
        <v>4</v>
      </c>
      <c r="E4" s="3" t="s">
        <v>5</v>
      </c>
      <c r="F4" s="2" t="s">
        <v>6</v>
      </c>
    </row>
    <row r="6" customFormat="false" ht="12.8" hidden="false" customHeight="false" outlineLevel="0" collapsed="false">
      <c r="A6" s="5" t="n">
        <v>1</v>
      </c>
      <c r="B6" s="6" t="s">
        <v>7</v>
      </c>
      <c r="C6" s="2" t="n">
        <v>4</v>
      </c>
      <c r="D6" s="3" t="n">
        <v>6.73</v>
      </c>
      <c r="E6" s="3" t="n">
        <f aca="false">C6*D6</f>
        <v>26.92</v>
      </c>
      <c r="F6" s="2" t="s">
        <v>8</v>
      </c>
    </row>
    <row r="7" customFormat="false" ht="12.8" hidden="false" customHeight="false" outlineLevel="0" collapsed="false">
      <c r="A7" s="5" t="n">
        <v>2</v>
      </c>
      <c r="B7" s="2" t="s">
        <v>9</v>
      </c>
      <c r="C7" s="2" t="n">
        <v>6</v>
      </c>
      <c r="D7" s="3" t="n">
        <v>2.23</v>
      </c>
      <c r="E7" s="3" t="n">
        <f aca="false">C7*D7</f>
        <v>13.38</v>
      </c>
      <c r="F7" s="2" t="s">
        <v>10</v>
      </c>
    </row>
    <row r="9" customFormat="false" ht="12.8" hidden="false" customHeight="false" outlineLevel="0" collapsed="false">
      <c r="A9" s="5" t="n">
        <v>3</v>
      </c>
      <c r="B9" s="2" t="s">
        <v>11</v>
      </c>
      <c r="C9" s="2" t="n">
        <v>2</v>
      </c>
      <c r="D9" s="3" t="n">
        <v>61.95</v>
      </c>
      <c r="E9" s="3" t="n">
        <f aca="false">C9*D9</f>
        <v>123.9</v>
      </c>
      <c r="F9" s="2" t="s">
        <v>12</v>
      </c>
    </row>
    <row r="10" customFormat="false" ht="12.8" hidden="false" customHeight="false" outlineLevel="0" collapsed="false">
      <c r="A10" s="5" t="n">
        <v>4</v>
      </c>
      <c r="B10" s="2" t="s">
        <v>13</v>
      </c>
      <c r="C10" s="2" t="n">
        <v>1</v>
      </c>
      <c r="D10" s="3" t="n">
        <v>10.95</v>
      </c>
      <c r="E10" s="3" t="n">
        <f aca="false">C10*D10</f>
        <v>10.95</v>
      </c>
      <c r="F10" s="2" t="s">
        <v>14</v>
      </c>
    </row>
    <row r="11" customFormat="false" ht="12.8" hidden="false" customHeight="false" outlineLevel="0" collapsed="false">
      <c r="A11" s="5"/>
      <c r="C11" s="2"/>
    </row>
    <row r="12" customFormat="false" ht="12.8" hidden="false" customHeight="false" outlineLevel="0" collapsed="false">
      <c r="A12" s="5"/>
      <c r="B12" s="2" t="s">
        <v>15</v>
      </c>
      <c r="C12" s="2" t="n">
        <v>1</v>
      </c>
      <c r="D12" s="3" t="n">
        <v>5.99</v>
      </c>
      <c r="E12" s="3" t="n">
        <v>5.99</v>
      </c>
      <c r="F12" s="2" t="s">
        <v>16</v>
      </c>
    </row>
    <row r="13" customFormat="false" ht="12.8" hidden="false" customHeight="false" outlineLevel="0" collapsed="false">
      <c r="A13" s="7" t="n">
        <v>5</v>
      </c>
      <c r="B13" s="8" t="s">
        <v>17</v>
      </c>
      <c r="C13" s="8" t="n">
        <v>13</v>
      </c>
      <c r="D13" s="9"/>
      <c r="E13" s="9"/>
      <c r="F13" s="8"/>
      <c r="G13" s="10"/>
      <c r="H13" s="2"/>
      <c r="I13" s="2"/>
      <c r="J13" s="2"/>
      <c r="K13" s="2"/>
      <c r="L13" s="2"/>
    </row>
    <row r="14" customFormat="false" ht="12.8" hidden="false" customHeight="false" outlineLevel="0" collapsed="false">
      <c r="A14" s="11" t="n">
        <v>6</v>
      </c>
      <c r="B14" s="8" t="s">
        <v>18</v>
      </c>
      <c r="C14" s="8" t="n">
        <v>10</v>
      </c>
      <c r="D14" s="12"/>
      <c r="E14" s="12"/>
      <c r="F14" s="8"/>
      <c r="G14" s="10"/>
      <c r="H14" s="2"/>
      <c r="I14" s="2"/>
      <c r="J14" s="2"/>
      <c r="K14" s="2"/>
      <c r="L14" s="2"/>
    </row>
    <row r="15" customFormat="false" ht="12.8" hidden="false" customHeight="false" outlineLevel="0" collapsed="false">
      <c r="A15" s="5" t="n">
        <v>7</v>
      </c>
      <c r="B15" s="2" t="s">
        <v>19</v>
      </c>
      <c r="C15" s="2" t="n">
        <v>6</v>
      </c>
      <c r="G15" s="10"/>
      <c r="H15" s="2"/>
      <c r="I15" s="2"/>
      <c r="J15" s="2"/>
      <c r="K15" s="2"/>
      <c r="L15" s="2"/>
    </row>
    <row r="16" customFormat="false" ht="12.8" hidden="false" customHeight="false" outlineLevel="0" collapsed="false">
      <c r="A16" s="5"/>
      <c r="B16" s="2" t="s">
        <v>20</v>
      </c>
      <c r="C16" s="2" t="n">
        <v>1</v>
      </c>
      <c r="D16" s="3" t="n">
        <v>5.58</v>
      </c>
      <c r="E16" s="3" t="n">
        <v>5.58</v>
      </c>
      <c r="F16" s="2" t="s">
        <v>21</v>
      </c>
      <c r="H16" s="2"/>
      <c r="I16" s="3"/>
      <c r="J16" s="3"/>
      <c r="K16" s="2"/>
      <c r="L16" s="2"/>
    </row>
    <row r="17" customFormat="false" ht="12.8" hidden="false" customHeight="false" outlineLevel="0" collapsed="false">
      <c r="A17" s="11" t="n">
        <v>8</v>
      </c>
      <c r="B17" s="8" t="s">
        <v>22</v>
      </c>
      <c r="C17" s="8" t="n">
        <v>12</v>
      </c>
      <c r="D17" s="12"/>
      <c r="E17" s="12"/>
      <c r="F17" s="8"/>
      <c r="H17" s="2"/>
      <c r="I17" s="3"/>
      <c r="J17" s="3"/>
      <c r="K17" s="2"/>
      <c r="L17" s="2"/>
    </row>
    <row r="18" customFormat="false" ht="12.8" hidden="false" customHeight="false" outlineLevel="0" collapsed="false">
      <c r="A18" s="11" t="n">
        <v>9</v>
      </c>
      <c r="B18" s="8" t="s">
        <v>23</v>
      </c>
      <c r="C18" s="8" t="n">
        <v>12</v>
      </c>
      <c r="D18" s="12"/>
      <c r="E18" s="12"/>
      <c r="F18" s="8"/>
      <c r="G18" s="10"/>
      <c r="H18" s="2"/>
      <c r="I18" s="2"/>
      <c r="J18" s="2"/>
      <c r="K18" s="2"/>
      <c r="L18" s="2"/>
    </row>
    <row r="19" customFormat="false" ht="12.8" hidden="false" customHeight="false" outlineLevel="0" collapsed="false">
      <c r="A19" s="11" t="n">
        <v>10</v>
      </c>
      <c r="B19" s="8" t="s">
        <v>24</v>
      </c>
      <c r="C19" s="8" t="n">
        <v>6</v>
      </c>
      <c r="D19" s="12"/>
      <c r="E19" s="12"/>
      <c r="F19" s="8"/>
      <c r="G19" s="10"/>
      <c r="H19" s="2"/>
      <c r="I19" s="2"/>
      <c r="J19" s="2"/>
      <c r="K19" s="2"/>
      <c r="L19" s="2"/>
    </row>
    <row r="20" customFormat="false" ht="12.8" hidden="false" customHeight="false" outlineLevel="0" collapsed="false">
      <c r="A20" s="11"/>
      <c r="B20" s="8"/>
      <c r="C20" s="8"/>
      <c r="D20" s="12"/>
      <c r="E20" s="12"/>
      <c r="F20" s="8"/>
      <c r="G20" s="10"/>
      <c r="H20" s="2"/>
      <c r="I20" s="2"/>
      <c r="J20" s="2"/>
      <c r="K20" s="2"/>
      <c r="L20" s="2"/>
    </row>
    <row r="21" customFormat="false" ht="12.8" hidden="false" customHeight="false" outlineLevel="0" collapsed="false">
      <c r="A21" s="5"/>
      <c r="B21" s="2" t="s">
        <v>25</v>
      </c>
      <c r="C21" s="2" t="n">
        <v>1</v>
      </c>
      <c r="D21" s="3" t="n">
        <v>5</v>
      </c>
      <c r="E21" s="3" t="n">
        <v>5</v>
      </c>
      <c r="F21" s="2" t="s">
        <v>26</v>
      </c>
      <c r="G21" s="10"/>
      <c r="H21" s="2"/>
      <c r="I21" s="2"/>
      <c r="J21" s="2"/>
      <c r="K21" s="2"/>
      <c r="L21" s="2"/>
    </row>
    <row r="22" customFormat="false" ht="12.8" hidden="false" customHeight="false" outlineLevel="0" collapsed="false">
      <c r="A22" s="11" t="n">
        <v>11</v>
      </c>
      <c r="B22" s="8" t="s">
        <v>27</v>
      </c>
      <c r="C22" s="8" t="n">
        <v>9</v>
      </c>
      <c r="D22" s="12"/>
      <c r="E22" s="12"/>
      <c r="F22" s="8"/>
      <c r="G22" s="10"/>
      <c r="H22" s="2"/>
      <c r="I22" s="2"/>
      <c r="J22" s="2"/>
      <c r="K22" s="2"/>
      <c r="L22" s="2"/>
    </row>
    <row r="23" customFormat="false" ht="12.8" hidden="false" customHeight="false" outlineLevel="0" collapsed="false">
      <c r="A23" s="11" t="n">
        <v>12</v>
      </c>
      <c r="B23" s="8" t="s">
        <v>28</v>
      </c>
      <c r="C23" s="8" t="n">
        <v>8</v>
      </c>
      <c r="D23" s="12" t="n">
        <v>3.79</v>
      </c>
      <c r="E23" s="12" t="n">
        <v>3.79</v>
      </c>
      <c r="F23" s="8" t="s">
        <v>29</v>
      </c>
      <c r="G23" s="10"/>
      <c r="H23" s="2"/>
      <c r="I23" s="2"/>
      <c r="J23" s="2"/>
      <c r="K23" s="2"/>
      <c r="L23" s="2"/>
    </row>
    <row r="24" customFormat="false" ht="12.8" hidden="false" customHeight="false" outlineLevel="0" collapsed="false">
      <c r="A24" s="5" t="n">
        <v>13</v>
      </c>
      <c r="B24" s="2" t="s">
        <v>30</v>
      </c>
      <c r="C24" s="2" t="n">
        <v>4</v>
      </c>
      <c r="D24" s="3" t="n">
        <v>6.58</v>
      </c>
      <c r="E24" s="3" t="n">
        <v>6.58</v>
      </c>
      <c r="F24" s="2" t="s">
        <v>31</v>
      </c>
      <c r="G24" s="10"/>
      <c r="H24" s="2"/>
      <c r="I24" s="2"/>
      <c r="J24" s="2"/>
      <c r="K24" s="2"/>
      <c r="L24" s="2"/>
    </row>
    <row r="25" customFormat="false" ht="12.8" hidden="false" customHeight="false" outlineLevel="0" collapsed="false">
      <c r="A25" s="5" t="n">
        <v>14</v>
      </c>
      <c r="B25" s="2" t="s">
        <v>32</v>
      </c>
      <c r="C25" s="2" t="n">
        <v>4</v>
      </c>
      <c r="G25" s="10"/>
      <c r="H25" s="2"/>
      <c r="I25" s="2"/>
      <c r="J25" s="2"/>
      <c r="K25" s="2"/>
      <c r="L25" s="2"/>
    </row>
    <row r="26" customFormat="false" ht="12.8" hidden="false" customHeight="false" outlineLevel="0" collapsed="false">
      <c r="A26" s="5" t="n">
        <v>15</v>
      </c>
      <c r="B26" s="2" t="s">
        <v>33</v>
      </c>
      <c r="C26" s="2" t="n">
        <v>8</v>
      </c>
      <c r="G26" s="10"/>
      <c r="H26" s="2"/>
      <c r="I26" s="2"/>
      <c r="J26" s="2"/>
      <c r="K26" s="2"/>
      <c r="L26" s="2"/>
    </row>
    <row r="27" customFormat="false" ht="12.8" hidden="false" customHeight="false" outlineLevel="0" collapsed="false">
      <c r="A27" s="5"/>
      <c r="C27" s="2"/>
      <c r="G27" s="10"/>
      <c r="H27" s="2"/>
      <c r="I27" s="2"/>
      <c r="J27" s="2"/>
      <c r="K27" s="2"/>
      <c r="L27" s="2"/>
    </row>
    <row r="28" customFormat="false" ht="12.8" hidden="false" customHeight="false" outlineLevel="0" collapsed="false">
      <c r="A28" s="5" t="n">
        <v>16</v>
      </c>
      <c r="B28" s="2" t="s">
        <v>34</v>
      </c>
      <c r="C28" s="2" t="n">
        <v>4</v>
      </c>
      <c r="D28" s="3" t="n">
        <v>1.39</v>
      </c>
      <c r="E28" s="3" t="n">
        <v>1.39</v>
      </c>
      <c r="F28" s="2" t="s">
        <v>35</v>
      </c>
      <c r="G28" s="10"/>
      <c r="H28" s="2"/>
      <c r="I28" s="2"/>
      <c r="J28" s="2"/>
      <c r="K28" s="2"/>
      <c r="L28" s="2"/>
    </row>
    <row r="29" customFormat="false" ht="12.8" hidden="false" customHeight="false" outlineLevel="0" collapsed="false">
      <c r="A29" s="5" t="n">
        <v>17</v>
      </c>
      <c r="B29" s="2" t="s">
        <v>36</v>
      </c>
      <c r="C29" s="2" t="n">
        <v>4</v>
      </c>
      <c r="D29" s="3" t="n">
        <v>9.98</v>
      </c>
      <c r="E29" s="3" t="n">
        <v>9.98</v>
      </c>
      <c r="F29" s="2" t="s">
        <v>37</v>
      </c>
    </row>
    <row r="30" customFormat="false" ht="12.8" hidden="false" customHeight="false" outlineLevel="0" collapsed="false">
      <c r="A30" s="5" t="n">
        <v>18</v>
      </c>
      <c r="B30" s="2" t="s">
        <v>38</v>
      </c>
      <c r="C30" s="2" t="n">
        <v>4</v>
      </c>
      <c r="D30" s="3" t="n">
        <v>9.99</v>
      </c>
      <c r="E30" s="3" t="n">
        <v>9.99</v>
      </c>
      <c r="F30" s="2" t="s">
        <v>39</v>
      </c>
    </row>
    <row r="31" customFormat="false" ht="12.8" hidden="false" customHeight="false" outlineLevel="0" collapsed="false">
      <c r="A31" s="5" t="n">
        <v>19</v>
      </c>
      <c r="B31" s="2" t="s">
        <v>40</v>
      </c>
      <c r="C31" s="2" t="n">
        <v>1</v>
      </c>
      <c r="D31" s="3" t="n">
        <v>4.19</v>
      </c>
      <c r="E31" s="3" t="n">
        <v>4.19</v>
      </c>
      <c r="F31" s="2" t="s">
        <v>41</v>
      </c>
    </row>
    <row r="32" customFormat="false" ht="12.8" hidden="false" customHeight="false" outlineLevel="0" collapsed="false">
      <c r="A32" s="5" t="n">
        <v>20</v>
      </c>
      <c r="B32" s="2" t="s">
        <v>42</v>
      </c>
      <c r="C32" s="2" t="n">
        <v>29</v>
      </c>
    </row>
    <row r="33" customFormat="false" ht="12.8" hidden="false" customHeight="false" outlineLevel="0" collapsed="false">
      <c r="A33" s="5" t="n">
        <v>21</v>
      </c>
      <c r="B33" s="2" t="s">
        <v>43</v>
      </c>
      <c r="C33" s="2" t="n">
        <v>5</v>
      </c>
    </row>
    <row r="34" customFormat="false" ht="12.8" hidden="false" customHeight="false" outlineLevel="0" collapsed="false">
      <c r="D34" s="2"/>
      <c r="E34" s="2"/>
    </row>
    <row r="35" customFormat="false" ht="12.8" hidden="false" customHeight="false" outlineLevel="0" collapsed="false">
      <c r="A35" s="5" t="n">
        <v>22</v>
      </c>
      <c r="B35" s="2" t="s">
        <v>44</v>
      </c>
      <c r="C35" s="2" t="n">
        <v>1</v>
      </c>
      <c r="D35" s="3" t="n">
        <v>17</v>
      </c>
      <c r="E35" s="3" t="n">
        <f aca="false">C35*D35</f>
        <v>17</v>
      </c>
      <c r="F35" s="2" t="s">
        <v>45</v>
      </c>
    </row>
    <row r="36" customFormat="false" ht="12.8" hidden="false" customHeight="false" outlineLevel="0" collapsed="false">
      <c r="A36" s="5" t="n">
        <v>23</v>
      </c>
      <c r="B36" s="2" t="s">
        <v>46</v>
      </c>
      <c r="C36" s="2" t="n">
        <v>1</v>
      </c>
      <c r="D36" s="3" t="n">
        <v>6.99</v>
      </c>
      <c r="E36" s="3" t="n">
        <v>6.99</v>
      </c>
      <c r="F36" s="2" t="s">
        <v>47</v>
      </c>
    </row>
    <row r="37" customFormat="false" ht="12.8" hidden="false" customHeight="false" outlineLevel="0" collapsed="false">
      <c r="A37" s="5" t="n">
        <v>24</v>
      </c>
      <c r="B37" s="2" t="s">
        <v>48</v>
      </c>
      <c r="C37" s="2" t="n">
        <v>1</v>
      </c>
      <c r="D37" s="3" t="n">
        <v>5.99</v>
      </c>
      <c r="E37" s="3" t="n">
        <v>5.99</v>
      </c>
      <c r="F37" s="2" t="s">
        <v>49</v>
      </c>
    </row>
    <row r="38" customFormat="false" ht="12.8" hidden="false" customHeight="false" outlineLevel="0" collapsed="false">
      <c r="A38" s="5" t="n">
        <v>25</v>
      </c>
      <c r="B38" s="2" t="s">
        <v>50</v>
      </c>
      <c r="C38" s="2" t="n">
        <v>2</v>
      </c>
      <c r="D38" s="3" t="n">
        <v>5.49</v>
      </c>
      <c r="E38" s="3" t="n">
        <v>5.49</v>
      </c>
      <c r="F38" s="2" t="s">
        <v>51</v>
      </c>
    </row>
    <row r="39" customFormat="false" ht="12.8" hidden="false" customHeight="false" outlineLevel="0" collapsed="false">
      <c r="A39" s="5" t="n">
        <v>26</v>
      </c>
      <c r="B39" s="2" t="s">
        <v>52</v>
      </c>
      <c r="C39" s="2" t="n">
        <v>10</v>
      </c>
      <c r="D39" s="3" t="n">
        <v>6.99</v>
      </c>
      <c r="E39" s="3" t="n">
        <v>6.99</v>
      </c>
      <c r="F39" s="2" t="s">
        <v>53</v>
      </c>
    </row>
    <row r="40" customFormat="false" ht="12.8" hidden="false" customHeight="false" outlineLevel="0" collapsed="false">
      <c r="A40" s="5" t="n">
        <v>27</v>
      </c>
      <c r="B40" s="2" t="s">
        <v>54</v>
      </c>
      <c r="C40" s="2" t="n">
        <v>1</v>
      </c>
      <c r="D40" s="3" t="n">
        <v>1</v>
      </c>
      <c r="E40" s="3" t="n">
        <f aca="false">C40*D40</f>
        <v>1</v>
      </c>
      <c r="F40" s="2" t="s">
        <v>55</v>
      </c>
    </row>
    <row r="41" customFormat="false" ht="12.8" hidden="false" customHeight="false" outlineLevel="0" collapsed="false">
      <c r="A41" s="5" t="n">
        <v>28</v>
      </c>
      <c r="B41" s="2" t="s">
        <v>56</v>
      </c>
      <c r="C41" s="2" t="n">
        <v>2</v>
      </c>
      <c r="D41" s="3" t="n">
        <v>14.35</v>
      </c>
      <c r="E41" s="3" t="n">
        <f aca="false">C41*D41</f>
        <v>28.7</v>
      </c>
      <c r="F41" s="2" t="s">
        <v>57</v>
      </c>
    </row>
    <row r="42" customFormat="false" ht="12.8" hidden="false" customHeight="false" outlineLevel="0" collapsed="false">
      <c r="A42" s="5" t="n">
        <v>29</v>
      </c>
      <c r="B42" s="2" t="s">
        <v>58</v>
      </c>
      <c r="C42" s="2" t="n">
        <v>1</v>
      </c>
      <c r="E42" s="3" t="n">
        <v>27</v>
      </c>
      <c r="F42" s="2" t="s">
        <v>59</v>
      </c>
    </row>
    <row r="43" customFormat="false" ht="12.8" hidden="false" customHeight="false" outlineLevel="0" collapsed="false">
      <c r="A43" s="5" t="n">
        <v>30</v>
      </c>
      <c r="B43" s="2" t="s">
        <v>60</v>
      </c>
      <c r="C43" s="2" t="n">
        <v>1</v>
      </c>
      <c r="E43" s="3" t="n">
        <v>7.89</v>
      </c>
      <c r="F43" s="2" t="s">
        <v>59</v>
      </c>
    </row>
    <row r="44" customFormat="false" ht="12.8" hidden="false" customHeight="false" outlineLevel="0" collapsed="false">
      <c r="A44" s="5"/>
      <c r="C44" s="2"/>
    </row>
    <row r="45" customFormat="false" ht="12.8" hidden="false" customHeight="false" outlineLevel="0" collapsed="false">
      <c r="A45" s="5" t="n">
        <v>31</v>
      </c>
      <c r="B45" s="2" t="s">
        <v>61</v>
      </c>
      <c r="C45" s="2" t="n">
        <v>1</v>
      </c>
      <c r="D45" s="2" t="n">
        <v>23.99</v>
      </c>
      <c r="E45" s="2" t="n">
        <v>23.99</v>
      </c>
    </row>
    <row r="46" customFormat="false" ht="12.8" hidden="false" customHeight="false" outlineLevel="0" collapsed="false">
      <c r="A46" s="5" t="n">
        <v>32</v>
      </c>
      <c r="B46" s="2" t="s">
        <v>62</v>
      </c>
      <c r="C46" s="2" t="n">
        <v>1</v>
      </c>
      <c r="D46" s="2" t="n">
        <v>23.99</v>
      </c>
      <c r="E46" s="2" t="n">
        <v>23.99</v>
      </c>
    </row>
    <row r="48" customFormat="false" ht="12.8" hidden="false" customHeight="false" outlineLevel="0" collapsed="false">
      <c r="E48" s="3" t="n">
        <f aca="false">SUM(E6:E47)</f>
        <v>382.67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2" t="s">
        <v>63</v>
      </c>
    </row>
    <row r="3" customFormat="false" ht="12.8" hidden="false" customHeight="false" outlineLevel="0" collapsed="false">
      <c r="A3" s="2" t="s">
        <v>64</v>
      </c>
    </row>
    <row r="4" customFormat="false" ht="12.8" hidden="false" customHeight="false" outlineLevel="0" collapsed="false">
      <c r="A4" s="2" t="s">
        <v>65</v>
      </c>
    </row>
    <row r="5" customFormat="false" ht="12.8" hidden="false" customHeight="false" outlineLevel="0" collapsed="false">
      <c r="A5" s="2" t="s">
        <v>66</v>
      </c>
    </row>
    <row r="6" customFormat="false" ht="12.8" hidden="false" customHeight="false" outlineLevel="0" collapsed="false">
      <c r="A6" s="2" t="s">
        <v>67</v>
      </c>
    </row>
    <row r="7" customFormat="false" ht="12.8" hidden="false" customHeight="false" outlineLevel="0" collapsed="false">
      <c r="A7" s="2" t="s">
        <v>68</v>
      </c>
    </row>
    <row r="8" customFormat="false" ht="12.8" hidden="false" customHeight="false" outlineLevel="0" collapsed="false">
      <c r="A8" s="2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37204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2025-12-17T09:30:47Z</dcterms:created>
  <dc:creator/>
  <dc:description/>
  <dc:language>en-GB</dc:language>
  <cp:lastModifiedBy/>
  <dcterms:modified xsi:type="dcterms:W3CDTF">2026-02-02T18:22:43Z</dcterms:modified>
  <cp:revision>75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