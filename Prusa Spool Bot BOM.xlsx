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sharedStrings.xml" ContentType="application/vnd.openxmlformats-officedocument.spreadsheetml.sharedStrings+xml"/>
  <Override PartName="/xl/media/image1.jpeg" ContentType="image/jpeg"/>
  <Override PartName="/xl/media/image2.jpeg" ContentType="image/jpeg"/>
  <Override PartName="/xl/media/image3.jpeg" ContentType="image/jpeg"/>
  <Override PartName="/xl/drawings/drawing1.xml" ContentType="application/vnd.openxmlformats-officedocument.drawing+xml"/>
  <Override PartName="/xl/drawings/_rels/drawing1.xml.rels" ContentType="application/vnd.openxmlformats-package.relationship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BOM" sheetId="1" state="visible" r:id="rId2"/>
    <sheet name="3D Printed Parts" sheetId="2" state="visible" r:id="rId3"/>
    <sheet name="Loom" sheetId="3" state="visible" r:id="rId4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<sst xmlns="http://schemas.openxmlformats.org/spreadsheetml/2006/main" count="160" uniqueCount="127">
  <si>
    <t xml:space="preserve">Prusa Spool Bot BOM</t>
  </si>
  <si>
    <t xml:space="preserve">Part</t>
  </si>
  <si>
    <t xml:space="preserve">Description</t>
  </si>
  <si>
    <t xml:space="preserve">Qty</t>
  </si>
  <si>
    <t xml:space="preserve">Cost</t>
  </si>
  <si>
    <t xml:space="preserve">Sub</t>
  </si>
  <si>
    <t xml:space="preserve">UK Links</t>
  </si>
  <si>
    <t xml:space="preserve">U.S. Links</t>
  </si>
  <si>
    <t xml:space="preserve">Notes</t>
  </si>
  <si>
    <t xml:space="preserve">55x68x7mm Bearing 61711 </t>
  </si>
  <si>
    <t xml:space="preserve">61711 Bearing</t>
  </si>
  <si>
    <t xml:space="preserve">https://amzn.to/4qeRzQE </t>
  </si>
  <si>
    <t xml:space="preserve">(Shop around local for cheaper)</t>
  </si>
  <si>
    <t xml:space="preserve">10x3x4 Bearing</t>
  </si>
  <si>
    <t xml:space="preserve">https://amzn.to/4ajuCWC </t>
  </si>
  <si>
    <t xml:space="preserve">(Unknown quality!)</t>
  </si>
  <si>
    <t xml:space="preserve">Motor/Encoder</t>
  </si>
  <si>
    <t xml:space="preserve">https://www.pololu.com/product/4862 </t>
  </si>
  <si>
    <t xml:space="preserve">Hub Adapter</t>
  </si>
  <si>
    <t xml:space="preserve">https://www.pololu.com/product/1997 </t>
  </si>
  <si>
    <t xml:space="preserve">M3 Button Head Set</t>
  </si>
  <si>
    <t xml:space="preserve">https://amzn.to/4q6ULh3 </t>
  </si>
  <si>
    <t xml:space="preserve">https://amzn.to/4a8HcYu </t>
  </si>
  <si>
    <t xml:space="preserve">M3x6 Button Head Socket</t>
  </si>
  <si>
    <t xml:space="preserve">M3x12 Button Head</t>
  </si>
  <si>
    <t xml:space="preserve">M3x7x0.5 washer</t>
  </si>
  <si>
    <t xml:space="preserve">M3 Counter Sunk Set</t>
  </si>
  <si>
    <t xml:space="preserve">https://amzn.to/4ragjKA </t>
  </si>
  <si>
    <t xml:space="preserve">https://amzn.to/4qXbHI8 </t>
  </si>
  <si>
    <t xml:space="preserve">M3x6 CS Screw </t>
  </si>
  <si>
    <t xml:space="preserve">M3x20 CS Socket </t>
  </si>
  <si>
    <t xml:space="preserve">M3 Hex Nut</t>
  </si>
  <si>
    <t xml:space="preserve">M4 Cap Head Set</t>
  </si>
  <si>
    <t xml:space="preserve">https://amzn.to/4qMgcFp </t>
  </si>
  <si>
    <t xml:space="preserve">https://amzn.to/3O3PfhM </t>
  </si>
  <si>
    <t xml:space="preserve">M4x25 Cap Head</t>
  </si>
  <si>
    <t xml:space="preserve">M4x5 Black cap head</t>
  </si>
  <si>
    <t xml:space="preserve">https://amzn.to/45wr8ye </t>
  </si>
  <si>
    <t xml:space="preserve">https://amzn.to/4roa8Tb </t>
  </si>
  <si>
    <t xml:space="preserve">M4x8 CS + Nut Black</t>
  </si>
  <si>
    <t xml:space="preserve">https://amzn.to/45ueRdQ </t>
  </si>
  <si>
    <t xml:space="preserve">https://amzn.to/4qVIehy </t>
  </si>
  <si>
    <t xml:space="preserve">M4 Square Nut</t>
  </si>
  <si>
    <t xml:space="preserve">M4 Hex Nut</t>
  </si>
  <si>
    <t xml:space="preserve">No.2 x 6.4mm Screw</t>
  </si>
  <si>
    <t xml:space="preserve">https://amzn.to/4bmNia4 </t>
  </si>
  <si>
    <t xml:space="preserve">https://amzn.to/4taD7Md </t>
  </si>
  <si>
    <t xml:space="preserve">12x3x4 Magnets</t>
  </si>
  <si>
    <t xml:space="preserve">https://amzn.to/4sokrs0 </t>
  </si>
  <si>
    <t xml:space="preserve">https://amzn.to/4c5deai </t>
  </si>
  <si>
    <t xml:space="preserve">10x3x3 Magnets</t>
  </si>
  <si>
    <t xml:space="preserve">https://amzn.to/4qDw7Wc </t>
  </si>
  <si>
    <t xml:space="preserve">https://amzn.to/4qhv7q1 </t>
  </si>
  <si>
    <t xml:space="preserve">50mm Goolgy Eyes</t>
  </si>
  <si>
    <t xml:space="preserve">https://amzn.to/3YJqABu </t>
  </si>
  <si>
    <t xml:space="preserve">https://amzn.to/4aso4G6 </t>
  </si>
  <si>
    <t xml:space="preserve">M3 Heat Insert</t>
  </si>
  <si>
    <t xml:space="preserve">M4 Heat Insert</t>
  </si>
  <si>
    <t xml:space="preserve">DF Robot Romeo ESP32</t>
  </si>
  <si>
    <t xml:space="preserve">6A Toggle Switch (ON-ON)</t>
  </si>
  <si>
    <t xml:space="preserve">https://amzn.to/3YJVCch</t>
  </si>
  <si>
    <t xml:space="preserve">https://amzn.to/4r3gBDC </t>
  </si>
  <si>
    <t xml:space="preserve">18 AWG silicone wire</t>
  </si>
  <si>
    <t xml:space="preserve">https://amzn.to/4qwDm1Z </t>
  </si>
  <si>
    <t xml:space="preserve">https://amzn.to/4acHDRK </t>
  </si>
  <si>
    <t xml:space="preserve">XT60 Male Connector</t>
  </si>
  <si>
    <t xml:space="preserve">https://amzn.to/4bJrepZ </t>
  </si>
  <si>
    <t xml:space="preserve">https://amzn.to/4kcfxKM </t>
  </si>
  <si>
    <t xml:space="preserve">Jumper F-F 100mm</t>
  </si>
  <si>
    <t xml:space="preserve">https://amzn.to/49Qc7sr </t>
  </si>
  <si>
    <t xml:space="preserve">https://amzn.to/3OiPnKm </t>
  </si>
  <si>
    <t xml:space="preserve">Qwiic Connector Jumper</t>
  </si>
  <si>
    <t xml:space="preserve">Qwiic Jumper</t>
  </si>
  <si>
    <t xml:space="preserve">https://www.adafruit.com/product/4397 </t>
  </si>
  <si>
    <t xml:space="preserve">6V NiMh Battery Hump Back</t>
  </si>
  <si>
    <t xml:space="preserve">6V NiMh Battery</t>
  </si>
  <si>
    <t xml:space="preserve">(Local R/C Shop? 3000 TO 5000MaH)</t>
  </si>
  <si>
    <t xml:space="preserve">Adafruit BNO085</t>
  </si>
  <si>
    <t xml:space="preserve">https://amzn.to/4rjBVnJ </t>
  </si>
  <si>
    <t xml:space="preserve">https://www.adafruit.com/product/4754 </t>
  </si>
  <si>
    <t xml:space="preserve">Dupont 0.1” Connector Kit</t>
  </si>
  <si>
    <t xml:space="preserve">https://amzn.to/49XTeVK </t>
  </si>
  <si>
    <t xml:space="preserve">Prusament PLA/PETG</t>
  </si>
  <si>
    <t xml:space="preserve">https://amzn.to/4a9z8Xh </t>
  </si>
  <si>
    <t xml:space="preserve">Prusament PETG</t>
  </si>
  <si>
    <t xml:space="preserve">https://amzn.to/3NTPufy </t>
  </si>
  <si>
    <t xml:space="preserve">Item</t>
  </si>
  <si>
    <t xml:space="preserve">Name</t>
  </si>
  <si>
    <t xml:space="preserve">Material</t>
  </si>
  <si>
    <t xml:space="preserve">DHG M1.5 18T</t>
  </si>
  <si>
    <t xml:space="preserve">PLA</t>
  </si>
  <si>
    <t xml:space="preserve">Fake Side Filament Removable End</t>
  </si>
  <si>
    <t xml:space="preserve">Fake Side Filament V1.1</t>
  </si>
  <si>
    <t xml:space="preserve">Filament Hub V1.1</t>
  </si>
  <si>
    <t xml:space="preserve">Removable Side Shim</t>
  </si>
  <si>
    <t xml:space="preserve">Axle Body Spacer</t>
  </si>
  <si>
    <t xml:space="preserve">PETG</t>
  </si>
  <si>
    <t xml:space="preserve">Spool Bearing Holder MAG P2</t>
  </si>
  <si>
    <t xml:space="preserve">Magnetic Side (Left)</t>
  </si>
  <si>
    <t xml:space="preserve">Spool Bearing Holder MAG P3</t>
  </si>
  <si>
    <t xml:space="preserve">Spool Bearing Holder P1</t>
  </si>
  <si>
    <t xml:space="preserve">Spool Bearing Holder P1 Fixed</t>
  </si>
  <si>
    <t xml:space="preserve">Fixed Side (Right)</t>
  </si>
  <si>
    <t xml:space="preserve">Spool Bearing Holder P2</t>
  </si>
  <si>
    <t xml:space="preserve">Spool Bearing Holder P3</t>
  </si>
  <si>
    <t xml:space="preserve">Axle Lock V1</t>
  </si>
  <si>
    <t xml:space="preserve">Battery Mount</t>
  </si>
  <si>
    <t xml:space="preserve">Battery Stay</t>
  </si>
  <si>
    <t xml:space="preserve">Central Hub Clamp V1.1</t>
  </si>
  <si>
    <t xml:space="preserve">Central Hub</t>
  </si>
  <si>
    <t xml:space="preserve">IMU Shelf</t>
  </si>
  <si>
    <t xml:space="preserve">Motor Mount</t>
  </si>
  <si>
    <t xml:space="preserve">Romeo Mini Mount V1.1</t>
  </si>
  <si>
    <t xml:space="preserve">RX Shelf</t>
  </si>
  <si>
    <t xml:space="preserve">Spool Gear Hub Fixed Side UNITE</t>
  </si>
  <si>
    <t xml:space="preserve">(Right side)</t>
  </si>
  <si>
    <t xml:space="preserve">Spool Gear Hub UNITE 80T</t>
  </si>
  <si>
    <t xml:space="preserve">(Left Side)</t>
  </si>
  <si>
    <t xml:space="preserve">Googly Eye Adapter</t>
  </si>
  <si>
    <t xml:space="preserve">Total Parts</t>
  </si>
  <si>
    <t xml:space="preserve">LOOM</t>
  </si>
  <si>
    <t xml:space="preserve">Main black and red wire between connectors 300mm long</t>
  </si>
  <si>
    <t xml:space="preserve">Short red wire from XT60 to switch middle pin 110mm</t>
  </si>
  <si>
    <t xml:space="preserve">Red power wire to terminal block 250mm cut to length</t>
  </si>
  <si>
    <t xml:space="preserve">Black charge wire from negative 200mm cut to length</t>
  </si>
  <si>
    <t xml:space="preserve">Black power wire from negative 200mm cut to length</t>
  </si>
  <si>
    <t xml:space="preserve">Red charge wire from switch 150mm cut to length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</si>
</sst>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[$£-809]#,##0.00;[RED]\-[$£-809]#,##0.00"/>
    <numFmt numFmtId="166" formatCode="General"/>
  </numFmts>
  <fonts count="8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5"/>
      <name val="Arial"/>
      <family val="2"/>
      <charset val="1"/>
    </font>
    <font>
      <sz val="10"/>
      <color rgb="FF0000FF"/>
      <name val="Arial"/>
      <family val="2"/>
      <charset val="1"/>
    </font>
    <font>
      <sz val="10"/>
      <color rgb="FFC9211E"/>
      <name val="Arial"/>
      <family val="2"/>
      <charset val="1"/>
    </font>
    <font>
      <b val="true"/>
      <sz val="10"/>
      <name val="Arial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C9211E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jpeg"/><Relationship Id="rId2" Type="http://schemas.openxmlformats.org/officeDocument/2006/relationships/image" Target="../media/image2.jpeg"/><Relationship Id="rId3" Type="http://schemas.openxmlformats.org/officeDocument/2006/relationships/image" Target="../media/image3.jpe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30</xdr:row>
      <xdr:rowOff>0</xdr:rowOff>
    </xdr:from>
    <xdr:to>
      <xdr:col>3</xdr:col>
      <xdr:colOff>637560</xdr:colOff>
      <xdr:row>41</xdr:row>
      <xdr:rowOff>126000</xdr:rowOff>
    </xdr:to>
    <xdr:pic>
      <xdr:nvPicPr>
        <xdr:cNvPr id="0" name="Image 1" descr=""/>
        <xdr:cNvPicPr/>
      </xdr:nvPicPr>
      <xdr:blipFill>
        <a:blip r:embed="rId1"/>
        <a:stretch/>
      </xdr:blipFill>
      <xdr:spPr>
        <a:xfrm>
          <a:off x="0" y="4876920"/>
          <a:ext cx="5390640" cy="1914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43</xdr:row>
      <xdr:rowOff>0</xdr:rowOff>
    </xdr:from>
    <xdr:to>
      <xdr:col>5</xdr:col>
      <xdr:colOff>464040</xdr:colOff>
      <xdr:row>53</xdr:row>
      <xdr:rowOff>98280</xdr:rowOff>
    </xdr:to>
    <xdr:pic>
      <xdr:nvPicPr>
        <xdr:cNvPr id="1" name="Image 2" descr=""/>
        <xdr:cNvPicPr/>
      </xdr:nvPicPr>
      <xdr:blipFill>
        <a:blip r:embed="rId2"/>
        <a:stretch/>
      </xdr:blipFill>
      <xdr:spPr>
        <a:xfrm>
          <a:off x="0" y="6990120"/>
          <a:ext cx="8372160" cy="17236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55</xdr:row>
      <xdr:rowOff>0</xdr:rowOff>
    </xdr:from>
    <xdr:to>
      <xdr:col>5</xdr:col>
      <xdr:colOff>444960</xdr:colOff>
      <xdr:row>73</xdr:row>
      <xdr:rowOff>16920</xdr:rowOff>
    </xdr:to>
    <xdr:pic>
      <xdr:nvPicPr>
        <xdr:cNvPr id="2" name="Image 3" descr=""/>
        <xdr:cNvPicPr/>
      </xdr:nvPicPr>
      <xdr:blipFill>
        <a:blip r:embed="rId3"/>
        <a:stretch/>
      </xdr:blipFill>
      <xdr:spPr>
        <a:xfrm>
          <a:off x="0" y="8940960"/>
          <a:ext cx="8353080" cy="2943000"/>
        </a:xfrm>
        <a:prstGeom prst="rect">
          <a:avLst/>
        </a:prstGeom>
        <a:ln w="0">
          <a:noFill/>
        </a:ln>
      </xdr:spPr>
    </xdr:pic>
    <xdr:clientData/>
  </xdr:twoCellAnchor>
</xdr:wsDr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simplybearings.co.uk/shop/p188629/61711-Budget-Open-Type-Thin-Section-Deep-Groove-Ball-Bearing-55x68x7mm/product_info.html" TargetMode="External"/><Relationship Id="rId2" Type="http://schemas.openxmlformats.org/officeDocument/2006/relationships/hyperlink" Target="https://amzn.to/4qeRzQE" TargetMode="External"/><Relationship Id="rId3" Type="http://schemas.openxmlformats.org/officeDocument/2006/relationships/hyperlink" Target="https://simplybearings.co.uk/shop/p170604/623ZZ-Budget-Metal-Shielded-Deep-Groove-Ball-Bearing-3x10x4mm/product_info.html" TargetMode="External"/><Relationship Id="rId4" Type="http://schemas.openxmlformats.org/officeDocument/2006/relationships/hyperlink" Target="https://amzn.to/4ajuCWC" TargetMode="External"/><Relationship Id="rId5" Type="http://schemas.openxmlformats.org/officeDocument/2006/relationships/hyperlink" Target="https://www.pololu.com/product/4862" TargetMode="External"/><Relationship Id="rId6" Type="http://schemas.openxmlformats.org/officeDocument/2006/relationships/hyperlink" Target="https://www.pololu.com/product/4862" TargetMode="External"/><Relationship Id="rId7" Type="http://schemas.openxmlformats.org/officeDocument/2006/relationships/hyperlink" Target="https://www.pololu.com/product/1997" TargetMode="External"/><Relationship Id="rId8" Type="http://schemas.openxmlformats.org/officeDocument/2006/relationships/hyperlink" Target="https://www.pololu.com/product/1997" TargetMode="External"/><Relationship Id="rId9" Type="http://schemas.openxmlformats.org/officeDocument/2006/relationships/hyperlink" Target="https://amzn.to/4q6ULh3" TargetMode="External"/><Relationship Id="rId10" Type="http://schemas.openxmlformats.org/officeDocument/2006/relationships/hyperlink" Target="https://amzn.to/4a8HcYu" TargetMode="External"/><Relationship Id="rId11" Type="http://schemas.openxmlformats.org/officeDocument/2006/relationships/hyperlink" Target="https://amzn.to/4ragjKA" TargetMode="External"/><Relationship Id="rId12" Type="http://schemas.openxmlformats.org/officeDocument/2006/relationships/hyperlink" Target="https://amzn.to/4qXbHI8" TargetMode="External"/><Relationship Id="rId13" Type="http://schemas.openxmlformats.org/officeDocument/2006/relationships/hyperlink" Target="https://amzn.to/4qMgcFp" TargetMode="External"/><Relationship Id="rId14" Type="http://schemas.openxmlformats.org/officeDocument/2006/relationships/hyperlink" Target="https://amzn.to/3O3PfhM" TargetMode="External"/><Relationship Id="rId15" Type="http://schemas.openxmlformats.org/officeDocument/2006/relationships/hyperlink" Target="https://amzn.to/45wr8ye" TargetMode="External"/><Relationship Id="rId16" Type="http://schemas.openxmlformats.org/officeDocument/2006/relationships/hyperlink" Target="https://amzn.to/4roa8Tb" TargetMode="External"/><Relationship Id="rId17" Type="http://schemas.openxmlformats.org/officeDocument/2006/relationships/hyperlink" Target="https://amzn.to/45ueRdQ" TargetMode="External"/><Relationship Id="rId18" Type="http://schemas.openxmlformats.org/officeDocument/2006/relationships/hyperlink" Target="https://amzn.to/4qVIehy" TargetMode="External"/><Relationship Id="rId19" Type="http://schemas.openxmlformats.org/officeDocument/2006/relationships/hyperlink" Target="https://amzn.to/4bmNia4" TargetMode="External"/><Relationship Id="rId20" Type="http://schemas.openxmlformats.org/officeDocument/2006/relationships/hyperlink" Target="https://amzn.to/4taD7Md" TargetMode="External"/><Relationship Id="rId21" Type="http://schemas.openxmlformats.org/officeDocument/2006/relationships/hyperlink" Target="https://amzn.to/4sokrs0" TargetMode="External"/><Relationship Id="rId22" Type="http://schemas.openxmlformats.org/officeDocument/2006/relationships/hyperlink" Target="https://amzn.to/4c5deai" TargetMode="External"/><Relationship Id="rId23" Type="http://schemas.openxmlformats.org/officeDocument/2006/relationships/hyperlink" Target="https://amzn.to/4qDw7Wc" TargetMode="External"/><Relationship Id="rId24" Type="http://schemas.openxmlformats.org/officeDocument/2006/relationships/hyperlink" Target="https://amzn.to/4qhv7q1" TargetMode="External"/><Relationship Id="rId25" Type="http://schemas.openxmlformats.org/officeDocument/2006/relationships/hyperlink" Target="https://amzn.to/3YJqABu" TargetMode="External"/><Relationship Id="rId26" Type="http://schemas.openxmlformats.org/officeDocument/2006/relationships/hyperlink" Target="https://amzn.to/4aso4G6" TargetMode="External"/><Relationship Id="rId27" Type="http://schemas.openxmlformats.org/officeDocument/2006/relationships/hyperlink" Target="https://uk.farnell.com/dfrobot/dfr1063/romeo-mini-control-board-esp32/dp/445737" TargetMode="External"/><Relationship Id="rId28" Type="http://schemas.openxmlformats.org/officeDocument/2006/relationships/hyperlink" Target="https://amzn.to/3YJVCch" TargetMode="External"/><Relationship Id="rId29" Type="http://schemas.openxmlformats.org/officeDocument/2006/relationships/hyperlink" Target="https://amzn.to/4r3gBDC" TargetMode="External"/><Relationship Id="rId30" Type="http://schemas.openxmlformats.org/officeDocument/2006/relationships/hyperlink" Target="https://amzn.to/4qwDm1Z" TargetMode="External"/><Relationship Id="rId31" Type="http://schemas.openxmlformats.org/officeDocument/2006/relationships/hyperlink" Target="https://amzn.to/4acHDRK" TargetMode="External"/><Relationship Id="rId32" Type="http://schemas.openxmlformats.org/officeDocument/2006/relationships/hyperlink" Target="https://amzn.to/4bJrepZ" TargetMode="External"/><Relationship Id="rId33" Type="http://schemas.openxmlformats.org/officeDocument/2006/relationships/hyperlink" Target="https://amzn.to/4kcfxKM" TargetMode="External"/><Relationship Id="rId34" Type="http://schemas.openxmlformats.org/officeDocument/2006/relationships/hyperlink" Target="https://amzn.to/49Qc7sr" TargetMode="External"/><Relationship Id="rId35" Type="http://schemas.openxmlformats.org/officeDocument/2006/relationships/hyperlink" Target="https://amzn.to/3OiPnKm" TargetMode="External"/><Relationship Id="rId36" Type="http://schemas.openxmlformats.org/officeDocument/2006/relationships/hyperlink" Target="https://thepihut.com/products/stemma-qt-qwiic-jst-sh-4-pin-cable-with-premium-female-sockets-150mm-long" TargetMode="External"/><Relationship Id="rId37" Type="http://schemas.openxmlformats.org/officeDocument/2006/relationships/hyperlink" Target="https://www.adafruit.com/product/4397" TargetMode="External"/><Relationship Id="rId38" Type="http://schemas.openxmlformats.org/officeDocument/2006/relationships/hyperlink" Target="https://www.componentshop.co.uk/6v-3300mah-sc-nimh-hump-rc-battery-pack-vapex.html" TargetMode="External"/><Relationship Id="rId39" Type="http://schemas.openxmlformats.org/officeDocument/2006/relationships/hyperlink" Target="https://amzn.to/4rjBVnJ" TargetMode="External"/><Relationship Id="rId40" Type="http://schemas.openxmlformats.org/officeDocument/2006/relationships/hyperlink" Target="https://www.adafruit.com/product/4754" TargetMode="External"/><Relationship Id="rId41" Type="http://schemas.openxmlformats.org/officeDocument/2006/relationships/hyperlink" Target="https://amzn.to/4rjBVnJ" TargetMode="External"/><Relationship Id="rId42" Type="http://schemas.openxmlformats.org/officeDocument/2006/relationships/hyperlink" Target="https://amzn.to/49XTeVK" TargetMode="External"/><Relationship Id="rId43" Type="http://schemas.openxmlformats.org/officeDocument/2006/relationships/hyperlink" Target="https://amzn.to/4a9z8Xh" TargetMode="External"/><Relationship Id="rId44" Type="http://schemas.openxmlformats.org/officeDocument/2006/relationships/hyperlink" Target="https://amzn.to/3NTPufy" TargetMode="Externa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48"/>
  <sheetViews>
    <sheetView showFormulas="false" showGridLines="true" showRowColHeaders="true" showZeros="true" rightToLeft="false" tabSelected="false" showOutlineSymbols="true" defaultGridColor="true" view="normal" topLeftCell="A13" colorId="64" zoomScale="100" zoomScaleNormal="100" zoomScalePageLayoutView="100" workbookViewId="0">
      <selection pane="topLeft" activeCell="A50" activeCellId="0" sqref="A50"/>
    </sheetView>
  </sheetViews>
  <sheetFormatPr defaultColWidth="11.53515625" defaultRowHeight="12.8" zeroHeight="false" outlineLevelRow="0" outlineLevelCol="0"/>
  <cols>
    <col collapsed="false" customWidth="false" hidden="false" outlineLevel="0" max="1" min="1" style="1" width="11.53"/>
    <col collapsed="false" customWidth="true" hidden="false" outlineLevel="0" max="2" min="2" style="2" width="25.58"/>
    <col collapsed="false" customWidth="false" hidden="false" outlineLevel="0" max="5" min="4" style="3" width="11.53"/>
    <col collapsed="false" customWidth="true" hidden="false" outlineLevel="0" max="6" min="6" style="2" width="35.05"/>
    <col collapsed="false" customWidth="true" hidden="false" outlineLevel="0" max="7" min="7" style="2" width="32.96"/>
    <col collapsed="false" customWidth="true" hidden="false" outlineLevel="0" max="8" min="8" style="2" width="32.26"/>
  </cols>
  <sheetData>
    <row r="1" customFormat="false" ht="18.55" hidden="false" customHeight="false" outlineLevel="0" collapsed="false">
      <c r="A1" s="4" t="s">
        <v>0</v>
      </c>
    </row>
    <row r="4" customFormat="false" ht="12.8" hidden="false" customHeight="false" outlineLevel="0" collapsed="false">
      <c r="A4" s="5" t="s">
        <v>1</v>
      </c>
      <c r="B4" s="2" t="s">
        <v>2</v>
      </c>
      <c r="C4" s="2" t="s">
        <v>3</v>
      </c>
      <c r="D4" s="3" t="s">
        <v>4</v>
      </c>
      <c r="E4" s="3" t="s">
        <v>5</v>
      </c>
      <c r="F4" s="2" t="s">
        <v>6</v>
      </c>
      <c r="G4" s="2" t="s">
        <v>7</v>
      </c>
      <c r="H4" s="2" t="s">
        <v>8</v>
      </c>
    </row>
    <row r="6" customFormat="false" ht="12.8" hidden="false" customHeight="false" outlineLevel="0" collapsed="false">
      <c r="A6" s="5" t="n">
        <v>1</v>
      </c>
      <c r="B6" s="6" t="s">
        <v>9</v>
      </c>
      <c r="C6" s="2" t="n">
        <v>4</v>
      </c>
      <c r="D6" s="3" t="n">
        <v>6.73</v>
      </c>
      <c r="E6" s="3" t="n">
        <f aca="false">C6*D6</f>
        <v>26.92</v>
      </c>
      <c r="F6" s="7" t="s">
        <v>10</v>
      </c>
      <c r="G6" s="7" t="s">
        <v>11</v>
      </c>
      <c r="H6" s="2" t="s">
        <v>12</v>
      </c>
    </row>
    <row r="7" customFormat="false" ht="12.8" hidden="false" customHeight="false" outlineLevel="0" collapsed="false">
      <c r="A7" s="5" t="n">
        <v>2</v>
      </c>
      <c r="B7" s="2" t="s">
        <v>13</v>
      </c>
      <c r="C7" s="2" t="n">
        <v>6</v>
      </c>
      <c r="D7" s="3" t="n">
        <v>2.23</v>
      </c>
      <c r="E7" s="3" t="n">
        <f aca="false">C7*D7</f>
        <v>13.38</v>
      </c>
      <c r="F7" s="7" t="s">
        <v>13</v>
      </c>
      <c r="G7" s="7" t="s">
        <v>14</v>
      </c>
      <c r="H7" s="2" t="s">
        <v>15</v>
      </c>
    </row>
    <row r="9" customFormat="false" ht="12.8" hidden="false" customHeight="false" outlineLevel="0" collapsed="false">
      <c r="A9" s="5" t="n">
        <v>3</v>
      </c>
      <c r="B9" s="2" t="s">
        <v>16</v>
      </c>
      <c r="C9" s="2" t="n">
        <v>2</v>
      </c>
      <c r="D9" s="3" t="n">
        <v>61.95</v>
      </c>
      <c r="E9" s="3" t="n">
        <f aca="false">C9*D9</f>
        <v>123.9</v>
      </c>
      <c r="F9" s="7" t="s">
        <v>17</v>
      </c>
      <c r="G9" s="7" t="s">
        <v>17</v>
      </c>
    </row>
    <row r="10" customFormat="false" ht="12.8" hidden="false" customHeight="false" outlineLevel="0" collapsed="false">
      <c r="A10" s="5" t="n">
        <v>4</v>
      </c>
      <c r="B10" s="2" t="s">
        <v>18</v>
      </c>
      <c r="C10" s="2" t="n">
        <v>1</v>
      </c>
      <c r="D10" s="3" t="n">
        <v>10.95</v>
      </c>
      <c r="E10" s="3" t="n">
        <f aca="false">C10*D10</f>
        <v>10.95</v>
      </c>
      <c r="F10" s="7" t="s">
        <v>19</v>
      </c>
      <c r="G10" s="7" t="s">
        <v>19</v>
      </c>
    </row>
    <row r="11" customFormat="false" ht="12.8" hidden="false" customHeight="false" outlineLevel="0" collapsed="false">
      <c r="A11" s="5"/>
      <c r="C11" s="2"/>
    </row>
    <row r="12" customFormat="false" ht="12.8" hidden="false" customHeight="false" outlineLevel="0" collapsed="false">
      <c r="A12" s="5"/>
      <c r="B12" s="2" t="s">
        <v>20</v>
      </c>
      <c r="C12" s="2" t="n">
        <v>1</v>
      </c>
      <c r="D12" s="3" t="n">
        <v>5.99</v>
      </c>
      <c r="E12" s="3" t="n">
        <v>5.99</v>
      </c>
      <c r="F12" s="7" t="s">
        <v>21</v>
      </c>
      <c r="G12" s="7" t="s">
        <v>22</v>
      </c>
    </row>
    <row r="13" customFormat="false" ht="12.8" hidden="false" customHeight="false" outlineLevel="0" collapsed="false">
      <c r="A13" s="5" t="n">
        <v>5</v>
      </c>
      <c r="B13" s="8" t="s">
        <v>23</v>
      </c>
      <c r="C13" s="8" t="n">
        <v>13</v>
      </c>
      <c r="D13" s="9"/>
      <c r="E13" s="9"/>
      <c r="F13" s="8"/>
      <c r="G13" s="10"/>
      <c r="I13" s="2"/>
      <c r="J13" s="2"/>
      <c r="K13" s="2"/>
      <c r="L13" s="2"/>
    </row>
    <row r="14" customFormat="false" ht="12.8" hidden="false" customHeight="false" outlineLevel="0" collapsed="false">
      <c r="A14" s="1" t="n">
        <v>6</v>
      </c>
      <c r="B14" s="8" t="s">
        <v>24</v>
      </c>
      <c r="C14" s="8" t="n">
        <v>10</v>
      </c>
      <c r="F14" s="8"/>
      <c r="G14" s="10"/>
      <c r="I14" s="2"/>
      <c r="J14" s="2"/>
      <c r="K14" s="2"/>
      <c r="L14" s="2"/>
    </row>
    <row r="15" customFormat="false" ht="12.8" hidden="false" customHeight="false" outlineLevel="0" collapsed="false">
      <c r="A15" s="5" t="n">
        <v>7</v>
      </c>
      <c r="B15" s="2" t="s">
        <v>25</v>
      </c>
      <c r="C15" s="2" t="n">
        <v>6</v>
      </c>
      <c r="G15" s="10"/>
      <c r="I15" s="2"/>
      <c r="J15" s="2"/>
      <c r="K15" s="2"/>
      <c r="L15" s="2"/>
    </row>
    <row r="16" customFormat="false" ht="12.8" hidden="false" customHeight="false" outlineLevel="0" collapsed="false">
      <c r="A16" s="5"/>
      <c r="B16" s="2" t="s">
        <v>26</v>
      </c>
      <c r="C16" s="2" t="n">
        <v>1</v>
      </c>
      <c r="D16" s="3" t="n">
        <v>5.58</v>
      </c>
      <c r="E16" s="3" t="n">
        <v>5.58</v>
      </c>
      <c r="F16" s="7" t="s">
        <v>27</v>
      </c>
      <c r="G16" s="7" t="s">
        <v>28</v>
      </c>
      <c r="I16" s="3"/>
      <c r="J16" s="3"/>
      <c r="K16" s="2"/>
      <c r="L16" s="2"/>
    </row>
    <row r="17" customFormat="false" ht="12.8" hidden="false" customHeight="false" outlineLevel="0" collapsed="false">
      <c r="A17" s="1" t="n">
        <v>8</v>
      </c>
      <c r="B17" s="8" t="s">
        <v>29</v>
      </c>
      <c r="C17" s="8" t="n">
        <v>12</v>
      </c>
      <c r="F17" s="8"/>
      <c r="I17" s="3"/>
      <c r="J17" s="3"/>
      <c r="K17" s="2"/>
      <c r="L17" s="2"/>
    </row>
    <row r="18" customFormat="false" ht="12.8" hidden="false" customHeight="false" outlineLevel="0" collapsed="false">
      <c r="A18" s="1" t="n">
        <v>9</v>
      </c>
      <c r="B18" s="8" t="s">
        <v>30</v>
      </c>
      <c r="C18" s="8" t="n">
        <v>12</v>
      </c>
      <c r="F18" s="8"/>
      <c r="G18" s="10"/>
      <c r="I18" s="2"/>
      <c r="J18" s="2"/>
      <c r="K18" s="2"/>
      <c r="L18" s="2"/>
    </row>
    <row r="19" customFormat="false" ht="12.8" hidden="false" customHeight="false" outlineLevel="0" collapsed="false">
      <c r="A19" s="1" t="n">
        <v>10</v>
      </c>
      <c r="B19" s="8" t="s">
        <v>31</v>
      </c>
      <c r="C19" s="8" t="n">
        <v>6</v>
      </c>
      <c r="F19" s="8"/>
      <c r="G19" s="10"/>
      <c r="I19" s="2"/>
      <c r="J19" s="2"/>
      <c r="K19" s="2"/>
      <c r="L19" s="2"/>
    </row>
    <row r="20" customFormat="false" ht="12.8" hidden="false" customHeight="false" outlineLevel="0" collapsed="false">
      <c r="B20" s="8"/>
      <c r="C20" s="8"/>
      <c r="F20" s="8"/>
      <c r="G20" s="10"/>
      <c r="I20" s="2"/>
      <c r="J20" s="2"/>
      <c r="K20" s="2"/>
      <c r="L20" s="2"/>
    </row>
    <row r="21" customFormat="false" ht="12.8" hidden="false" customHeight="false" outlineLevel="0" collapsed="false">
      <c r="A21" s="5"/>
      <c r="B21" s="2" t="s">
        <v>32</v>
      </c>
      <c r="C21" s="2" t="n">
        <v>1</v>
      </c>
      <c r="D21" s="3" t="n">
        <v>5</v>
      </c>
      <c r="E21" s="3" t="n">
        <v>5</v>
      </c>
      <c r="F21" s="7" t="s">
        <v>33</v>
      </c>
      <c r="G21" s="7" t="s">
        <v>34</v>
      </c>
      <c r="I21" s="2"/>
      <c r="J21" s="2"/>
      <c r="K21" s="2"/>
      <c r="L21" s="2"/>
    </row>
    <row r="22" customFormat="false" ht="12.8" hidden="false" customHeight="false" outlineLevel="0" collapsed="false">
      <c r="A22" s="1" t="n">
        <v>11</v>
      </c>
      <c r="B22" s="8" t="s">
        <v>35</v>
      </c>
      <c r="C22" s="8" t="n">
        <v>9</v>
      </c>
      <c r="F22" s="8"/>
      <c r="G22" s="10"/>
      <c r="I22" s="2"/>
      <c r="J22" s="2"/>
      <c r="K22" s="2"/>
      <c r="L22" s="2"/>
    </row>
    <row r="23" customFormat="false" ht="12.8" hidden="false" customHeight="false" outlineLevel="0" collapsed="false">
      <c r="A23" s="1" t="n">
        <v>12</v>
      </c>
      <c r="B23" s="8" t="s">
        <v>36</v>
      </c>
      <c r="C23" s="8" t="n">
        <v>8</v>
      </c>
      <c r="D23" s="3" t="n">
        <v>3.79</v>
      </c>
      <c r="E23" s="3" t="n">
        <v>3.79</v>
      </c>
      <c r="F23" s="7" t="s">
        <v>37</v>
      </c>
      <c r="G23" s="7" t="s">
        <v>38</v>
      </c>
      <c r="I23" s="2"/>
      <c r="J23" s="2"/>
      <c r="K23" s="2"/>
      <c r="L23" s="2"/>
    </row>
    <row r="24" customFormat="false" ht="12.8" hidden="false" customHeight="false" outlineLevel="0" collapsed="false">
      <c r="A24" s="5" t="n">
        <v>13</v>
      </c>
      <c r="B24" s="2" t="s">
        <v>39</v>
      </c>
      <c r="C24" s="2" t="n">
        <v>4</v>
      </c>
      <c r="D24" s="3" t="n">
        <v>6.58</v>
      </c>
      <c r="E24" s="3" t="n">
        <v>6.58</v>
      </c>
      <c r="F24" s="7" t="s">
        <v>40</v>
      </c>
      <c r="G24" s="7" t="s">
        <v>41</v>
      </c>
      <c r="I24" s="2"/>
      <c r="J24" s="2"/>
      <c r="K24" s="2"/>
      <c r="L24" s="2"/>
    </row>
    <row r="25" customFormat="false" ht="12.8" hidden="false" customHeight="false" outlineLevel="0" collapsed="false">
      <c r="A25" s="5" t="n">
        <v>14</v>
      </c>
      <c r="B25" s="2" t="s">
        <v>42</v>
      </c>
      <c r="C25" s="2" t="n">
        <v>4</v>
      </c>
      <c r="G25" s="10"/>
      <c r="I25" s="2"/>
      <c r="J25" s="2"/>
      <c r="K25" s="2"/>
      <c r="L25" s="2"/>
    </row>
    <row r="26" customFormat="false" ht="12.8" hidden="false" customHeight="false" outlineLevel="0" collapsed="false">
      <c r="A26" s="5" t="n">
        <v>15</v>
      </c>
      <c r="B26" s="2" t="s">
        <v>43</v>
      </c>
      <c r="C26" s="2" t="n">
        <v>8</v>
      </c>
      <c r="G26" s="10"/>
      <c r="I26" s="2"/>
      <c r="J26" s="2"/>
      <c r="K26" s="2"/>
      <c r="L26" s="2"/>
    </row>
    <row r="27" customFormat="false" ht="12.8" hidden="false" customHeight="false" outlineLevel="0" collapsed="false">
      <c r="A27" s="5"/>
      <c r="C27" s="2"/>
      <c r="G27" s="10"/>
      <c r="I27" s="2"/>
      <c r="J27" s="2"/>
      <c r="K27" s="2"/>
      <c r="L27" s="2"/>
    </row>
    <row r="28" customFormat="false" ht="12.8" hidden="false" customHeight="false" outlineLevel="0" collapsed="false">
      <c r="A28" s="5" t="n">
        <v>16</v>
      </c>
      <c r="B28" s="2" t="s">
        <v>44</v>
      </c>
      <c r="C28" s="2" t="n">
        <v>4</v>
      </c>
      <c r="D28" s="3" t="n">
        <v>1.39</v>
      </c>
      <c r="E28" s="3" t="n">
        <v>1.39</v>
      </c>
      <c r="F28" s="7" t="s">
        <v>45</v>
      </c>
      <c r="G28" s="7" t="s">
        <v>46</v>
      </c>
      <c r="I28" s="2"/>
      <c r="J28" s="2"/>
      <c r="K28" s="2"/>
      <c r="L28" s="2"/>
    </row>
    <row r="29" customFormat="false" ht="12.8" hidden="false" customHeight="false" outlineLevel="0" collapsed="false">
      <c r="A29" s="5" t="n">
        <v>17</v>
      </c>
      <c r="B29" s="2" t="s">
        <v>47</v>
      </c>
      <c r="C29" s="2" t="n">
        <v>4</v>
      </c>
      <c r="D29" s="3" t="n">
        <v>9.98</v>
      </c>
      <c r="E29" s="3" t="n">
        <v>9.98</v>
      </c>
      <c r="F29" s="7" t="s">
        <v>48</v>
      </c>
      <c r="G29" s="7" t="s">
        <v>49</v>
      </c>
    </row>
    <row r="30" customFormat="false" ht="12.8" hidden="false" customHeight="false" outlineLevel="0" collapsed="false">
      <c r="A30" s="5" t="n">
        <v>18</v>
      </c>
      <c r="B30" s="2" t="s">
        <v>50</v>
      </c>
      <c r="C30" s="2" t="n">
        <v>4</v>
      </c>
      <c r="D30" s="3" t="n">
        <v>9.99</v>
      </c>
      <c r="E30" s="3" t="n">
        <v>9.99</v>
      </c>
      <c r="F30" s="7" t="s">
        <v>51</v>
      </c>
      <c r="G30" s="7" t="s">
        <v>52</v>
      </c>
    </row>
    <row r="31" customFormat="false" ht="12.8" hidden="false" customHeight="false" outlineLevel="0" collapsed="false">
      <c r="A31" s="5" t="n">
        <v>19</v>
      </c>
      <c r="B31" s="2" t="s">
        <v>53</v>
      </c>
      <c r="C31" s="2" t="n">
        <v>1</v>
      </c>
      <c r="D31" s="3" t="n">
        <v>4.19</v>
      </c>
      <c r="E31" s="3" t="n">
        <v>4.19</v>
      </c>
      <c r="F31" s="7" t="s">
        <v>54</v>
      </c>
      <c r="G31" s="7" t="s">
        <v>55</v>
      </c>
    </row>
    <row r="32" customFormat="false" ht="12.8" hidden="false" customHeight="false" outlineLevel="0" collapsed="false">
      <c r="A32" s="5" t="n">
        <v>20</v>
      </c>
      <c r="B32" s="2" t="s">
        <v>56</v>
      </c>
      <c r="C32" s="2" t="n">
        <v>29</v>
      </c>
    </row>
    <row r="33" customFormat="false" ht="12.8" hidden="false" customHeight="false" outlineLevel="0" collapsed="false">
      <c r="A33" s="5" t="n">
        <v>21</v>
      </c>
      <c r="B33" s="2" t="s">
        <v>57</v>
      </c>
      <c r="C33" s="2" t="n">
        <v>5</v>
      </c>
    </row>
    <row r="34" customFormat="false" ht="12.8" hidden="false" customHeight="false" outlineLevel="0" collapsed="false">
      <c r="D34" s="2"/>
      <c r="E34" s="2"/>
    </row>
    <row r="35" customFormat="false" ht="12.8" hidden="false" customHeight="false" outlineLevel="0" collapsed="false">
      <c r="A35" s="5" t="n">
        <v>22</v>
      </c>
      <c r="B35" s="2" t="s">
        <v>58</v>
      </c>
      <c r="C35" s="2" t="n">
        <v>1</v>
      </c>
      <c r="D35" s="3" t="n">
        <v>17</v>
      </c>
      <c r="E35" s="3" t="n">
        <f aca="false">C35*D35</f>
        <v>17</v>
      </c>
      <c r="F35" s="7" t="s">
        <v>58</v>
      </c>
    </row>
    <row r="36" customFormat="false" ht="12.8" hidden="false" customHeight="false" outlineLevel="0" collapsed="false">
      <c r="A36" s="5" t="n">
        <v>23</v>
      </c>
      <c r="B36" s="2" t="s">
        <v>59</v>
      </c>
      <c r="C36" s="2" t="n">
        <v>1</v>
      </c>
      <c r="D36" s="3" t="n">
        <v>6.99</v>
      </c>
      <c r="E36" s="3" t="n">
        <v>6.99</v>
      </c>
      <c r="F36" s="7" t="s">
        <v>60</v>
      </c>
      <c r="G36" s="7" t="s">
        <v>61</v>
      </c>
    </row>
    <row r="37" customFormat="false" ht="12.8" hidden="false" customHeight="false" outlineLevel="0" collapsed="false">
      <c r="A37" s="5" t="n">
        <v>24</v>
      </c>
      <c r="B37" s="2" t="s">
        <v>62</v>
      </c>
      <c r="C37" s="2" t="n">
        <v>1</v>
      </c>
      <c r="D37" s="3" t="n">
        <v>5.99</v>
      </c>
      <c r="E37" s="3" t="n">
        <v>5.99</v>
      </c>
      <c r="F37" s="7" t="s">
        <v>63</v>
      </c>
      <c r="G37" s="7" t="s">
        <v>64</v>
      </c>
    </row>
    <row r="38" customFormat="false" ht="12.8" hidden="false" customHeight="false" outlineLevel="0" collapsed="false">
      <c r="A38" s="5" t="n">
        <v>25</v>
      </c>
      <c r="B38" s="2" t="s">
        <v>65</v>
      </c>
      <c r="C38" s="2" t="n">
        <v>2</v>
      </c>
      <c r="D38" s="3" t="n">
        <v>5.49</v>
      </c>
      <c r="E38" s="3" t="n">
        <v>5.49</v>
      </c>
      <c r="F38" s="7" t="s">
        <v>66</v>
      </c>
      <c r="G38" s="7" t="s">
        <v>67</v>
      </c>
    </row>
    <row r="39" customFormat="false" ht="12.8" hidden="false" customHeight="false" outlineLevel="0" collapsed="false">
      <c r="A39" s="5" t="n">
        <v>26</v>
      </c>
      <c r="B39" s="2" t="s">
        <v>68</v>
      </c>
      <c r="C39" s="2" t="n">
        <v>10</v>
      </c>
      <c r="D39" s="3" t="n">
        <v>6.99</v>
      </c>
      <c r="E39" s="3" t="n">
        <v>6.99</v>
      </c>
      <c r="F39" s="7" t="s">
        <v>69</v>
      </c>
      <c r="G39" s="7" t="s">
        <v>70</v>
      </c>
    </row>
    <row r="40" customFormat="false" ht="12.8" hidden="false" customHeight="false" outlineLevel="0" collapsed="false">
      <c r="A40" s="5" t="n">
        <v>27</v>
      </c>
      <c r="B40" s="2" t="s">
        <v>71</v>
      </c>
      <c r="C40" s="2" t="n">
        <v>1</v>
      </c>
      <c r="D40" s="3" t="n">
        <v>1</v>
      </c>
      <c r="E40" s="3" t="n">
        <f aca="false">C40*D40</f>
        <v>1</v>
      </c>
      <c r="F40" s="7" t="s">
        <v>72</v>
      </c>
      <c r="G40" s="7" t="s">
        <v>73</v>
      </c>
    </row>
    <row r="41" customFormat="false" ht="12.8" hidden="false" customHeight="false" outlineLevel="0" collapsed="false">
      <c r="A41" s="5" t="n">
        <v>28</v>
      </c>
      <c r="B41" s="2" t="s">
        <v>74</v>
      </c>
      <c r="C41" s="2" t="n">
        <v>2</v>
      </c>
      <c r="D41" s="3" t="n">
        <v>14.35</v>
      </c>
      <c r="E41" s="3" t="n">
        <f aca="false">C41*D41</f>
        <v>28.7</v>
      </c>
      <c r="F41" s="7" t="s">
        <v>75</v>
      </c>
      <c r="H41" s="2" t="s">
        <v>76</v>
      </c>
    </row>
    <row r="42" customFormat="false" ht="12.8" hidden="false" customHeight="false" outlineLevel="0" collapsed="false">
      <c r="A42" s="5" t="n">
        <v>29</v>
      </c>
      <c r="B42" s="2" t="s">
        <v>77</v>
      </c>
      <c r="C42" s="2" t="n">
        <v>1</v>
      </c>
      <c r="E42" s="3" t="n">
        <v>27</v>
      </c>
      <c r="F42" s="7" t="s">
        <v>78</v>
      </c>
      <c r="G42" s="7" t="s">
        <v>79</v>
      </c>
    </row>
    <row r="43" customFormat="false" ht="12.8" hidden="false" customHeight="false" outlineLevel="0" collapsed="false">
      <c r="A43" s="5" t="n">
        <v>30</v>
      </c>
      <c r="B43" s="2" t="s">
        <v>80</v>
      </c>
      <c r="C43" s="2" t="n">
        <v>1</v>
      </c>
      <c r="E43" s="3" t="n">
        <v>7.89</v>
      </c>
      <c r="F43" s="7" t="s">
        <v>78</v>
      </c>
      <c r="G43" s="7" t="s">
        <v>81</v>
      </c>
    </row>
    <row r="44" customFormat="false" ht="12.8" hidden="false" customHeight="false" outlineLevel="0" collapsed="false">
      <c r="A44" s="5"/>
      <c r="C44" s="2"/>
    </row>
    <row r="45" customFormat="false" ht="12.8" hidden="false" customHeight="false" outlineLevel="0" collapsed="false">
      <c r="A45" s="5" t="n">
        <v>31</v>
      </c>
      <c r="B45" s="2" t="s">
        <v>82</v>
      </c>
      <c r="C45" s="2" t="n">
        <v>1</v>
      </c>
      <c r="D45" s="2" t="n">
        <v>23.99</v>
      </c>
      <c r="E45" s="2" t="n">
        <v>23.99</v>
      </c>
      <c r="G45" s="7" t="s">
        <v>83</v>
      </c>
    </row>
    <row r="46" customFormat="false" ht="12.8" hidden="false" customHeight="false" outlineLevel="0" collapsed="false">
      <c r="A46" s="5" t="n">
        <v>32</v>
      </c>
      <c r="B46" s="2" t="s">
        <v>84</v>
      </c>
      <c r="C46" s="2" t="n">
        <v>1</v>
      </c>
      <c r="D46" s="2" t="n">
        <v>23.99</v>
      </c>
      <c r="E46" s="2" t="n">
        <v>23.99</v>
      </c>
      <c r="G46" s="7" t="s">
        <v>85</v>
      </c>
    </row>
    <row r="48" customFormat="false" ht="12.8" hidden="false" customHeight="false" outlineLevel="0" collapsed="false">
      <c r="E48" s="11" t="n">
        <f aca="false">SUM(E6:E47)</f>
        <v>382.67</v>
      </c>
    </row>
  </sheetData>
  <hyperlinks>
    <hyperlink ref="F6" r:id="rId1" display="61711 Bearing"/>
    <hyperlink ref="G6" r:id="rId2" display="https://amzn.to/4qeRzQE "/>
    <hyperlink ref="F7" r:id="rId3" display="10x3x4 Bearing"/>
    <hyperlink ref="G7" r:id="rId4" display="https://amzn.to/4ajuCWC "/>
    <hyperlink ref="F9" r:id="rId5" display="https://www.pololu.com/product/4862 "/>
    <hyperlink ref="G9" r:id="rId6" display="https://www.pololu.com/product/4862 "/>
    <hyperlink ref="F10" r:id="rId7" display="https://www.pololu.com/product/1997 "/>
    <hyperlink ref="G10" r:id="rId8" display="https://www.pololu.com/product/1997 "/>
    <hyperlink ref="F12" r:id="rId9" display="https://amzn.to/4q6ULh3 "/>
    <hyperlink ref="G12" r:id="rId10" display="https://amzn.to/4a8HcYu "/>
    <hyperlink ref="F16" r:id="rId11" display="https://amzn.to/4ragjKA "/>
    <hyperlink ref="G16" r:id="rId12" display="https://amzn.to/4qXbHI8 "/>
    <hyperlink ref="F21" r:id="rId13" display="https://amzn.to/4qMgcFp "/>
    <hyperlink ref="G21" r:id="rId14" display="https://amzn.to/3O3PfhM "/>
    <hyperlink ref="F23" r:id="rId15" display="https://amzn.to/45wr8ye "/>
    <hyperlink ref="G23" r:id="rId16" display="https://amzn.to/4roa8Tb "/>
    <hyperlink ref="F24" r:id="rId17" display="https://amzn.to/45ueRdQ "/>
    <hyperlink ref="G24" r:id="rId18" display="https://amzn.to/4qVIehy "/>
    <hyperlink ref="F28" r:id="rId19" display="https://amzn.to/4bmNia4 "/>
    <hyperlink ref="G28" r:id="rId20" display="https://amzn.to/4taD7Md "/>
    <hyperlink ref="F29" r:id="rId21" display="https://amzn.to/4sokrs0 "/>
    <hyperlink ref="G29" r:id="rId22" display="https://amzn.to/4c5deai "/>
    <hyperlink ref="F30" r:id="rId23" display="https://amzn.to/4qDw7Wc "/>
    <hyperlink ref="G30" r:id="rId24" display="https://amzn.to/4qhv7q1 "/>
    <hyperlink ref="F31" r:id="rId25" display="https://amzn.to/3YJqABu "/>
    <hyperlink ref="G31" r:id="rId26" display="https://amzn.to/4aso4G6 "/>
    <hyperlink ref="F35" r:id="rId27" display="DF Robot Romeo ESP32"/>
    <hyperlink ref="F36" r:id="rId28" display="https://amzn.to/3YJVCch"/>
    <hyperlink ref="G36" r:id="rId29" display="https://amzn.to/4r3gBDC "/>
    <hyperlink ref="F37" r:id="rId30" display="https://amzn.to/4qwDm1Z "/>
    <hyperlink ref="G37" r:id="rId31" display="https://amzn.to/4acHDRK "/>
    <hyperlink ref="F38" r:id="rId32" display="https://amzn.to/4bJrepZ "/>
    <hyperlink ref="G38" r:id="rId33" display="https://amzn.to/4kcfxKM "/>
    <hyperlink ref="F39" r:id="rId34" display="https://amzn.to/49Qc7sr "/>
    <hyperlink ref="G39" r:id="rId35" display="https://amzn.to/3OiPnKm "/>
    <hyperlink ref="F40" r:id="rId36" display="Qwiic Jumper"/>
    <hyperlink ref="G40" r:id="rId37" display="https://www.adafruit.com/product/4397 "/>
    <hyperlink ref="F41" r:id="rId38" display="6V NiMh Battery"/>
    <hyperlink ref="F42" r:id="rId39" display="https://amzn.to/4rjBVnJ "/>
    <hyperlink ref="G42" r:id="rId40" display="https://www.adafruit.com/product/4754 "/>
    <hyperlink ref="F43" r:id="rId41" display="https://amzn.to/4rjBVnJ "/>
    <hyperlink ref="G43" r:id="rId42" display="https://amzn.to/49XTeVK "/>
    <hyperlink ref="G45" r:id="rId43" display="https://amzn.to/4a9z8Xh "/>
    <hyperlink ref="G46" r:id="rId44" display="https://amzn.to/3NTPufy 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76" activeCellId="0" sqref="D76"/>
    </sheetView>
  </sheetViews>
  <sheetFormatPr defaultColWidth="11.53515625" defaultRowHeight="12.8" zeroHeight="false" outlineLevelRow="0" outlineLevelCol="0"/>
  <cols>
    <col collapsed="false" customWidth="true" hidden="false" outlineLevel="0" max="2" min="2" style="0" width="44.37"/>
    <col collapsed="false" customWidth="true" hidden="false" outlineLevel="0" max="5" min="5" style="0" width="33.23"/>
  </cols>
  <sheetData>
    <row r="1" customFormat="false" ht="12.8" hidden="false" customHeight="false" outlineLevel="0" collapsed="false">
      <c r="A1" s="0" t="s">
        <v>86</v>
      </c>
      <c r="B1" s="0" t="s">
        <v>87</v>
      </c>
      <c r="C1" s="0" t="s">
        <v>3</v>
      </c>
      <c r="D1" s="0" t="s">
        <v>88</v>
      </c>
      <c r="E1" s="0" t="s">
        <v>8</v>
      </c>
    </row>
    <row r="3" customFormat="false" ht="12.8" hidden="false" customHeight="false" outlineLevel="0" collapsed="false">
      <c r="A3" s="12" t="n">
        <v>1</v>
      </c>
      <c r="B3" s="0" t="s">
        <v>89</v>
      </c>
      <c r="C3" s="12" t="n">
        <v>2</v>
      </c>
      <c r="D3" s="0" t="s">
        <v>90</v>
      </c>
    </row>
    <row r="4" customFormat="false" ht="12.8" hidden="false" customHeight="false" outlineLevel="0" collapsed="false">
      <c r="A4" s="12" t="n">
        <v>2</v>
      </c>
      <c r="B4" s="0" t="s">
        <v>91</v>
      </c>
      <c r="C4" s="12" t="n">
        <v>1</v>
      </c>
      <c r="D4" s="0" t="s">
        <v>90</v>
      </c>
    </row>
    <row r="5" customFormat="false" ht="12.8" hidden="false" customHeight="false" outlineLevel="0" collapsed="false">
      <c r="A5" s="12" t="n">
        <v>3</v>
      </c>
      <c r="B5" s="0" t="s">
        <v>92</v>
      </c>
      <c r="C5" s="12" t="n">
        <v>1</v>
      </c>
      <c r="D5" s="0" t="s">
        <v>90</v>
      </c>
    </row>
    <row r="6" customFormat="false" ht="12.8" hidden="false" customHeight="false" outlineLevel="0" collapsed="false">
      <c r="A6" s="12" t="n">
        <v>4</v>
      </c>
      <c r="B6" s="0" t="s">
        <v>93</v>
      </c>
      <c r="C6" s="12" t="n">
        <v>1</v>
      </c>
      <c r="D6" s="0" t="s">
        <v>90</v>
      </c>
    </row>
    <row r="7" customFormat="false" ht="12.8" hidden="false" customHeight="false" outlineLevel="0" collapsed="false">
      <c r="A7" s="12" t="n">
        <v>5</v>
      </c>
      <c r="B7" s="0" t="s">
        <v>94</v>
      </c>
      <c r="C7" s="12" t="n">
        <v>1</v>
      </c>
      <c r="D7" s="0" t="s">
        <v>90</v>
      </c>
    </row>
    <row r="8" customFormat="false" ht="12.8" hidden="false" customHeight="false" outlineLevel="0" collapsed="false">
      <c r="A8" s="12" t="n">
        <v>6</v>
      </c>
      <c r="B8" s="0" t="s">
        <v>95</v>
      </c>
      <c r="C8" s="12" t="n">
        <v>2</v>
      </c>
      <c r="D8" s="0" t="s">
        <v>96</v>
      </c>
    </row>
    <row r="9" customFormat="false" ht="12.8" hidden="false" customHeight="false" outlineLevel="0" collapsed="false">
      <c r="A9" s="12" t="n">
        <v>7</v>
      </c>
      <c r="B9" s="0" t="s">
        <v>97</v>
      </c>
      <c r="C9" s="12" t="n">
        <v>1</v>
      </c>
      <c r="D9" s="0" t="s">
        <v>96</v>
      </c>
      <c r="E9" s="0" t="s">
        <v>98</v>
      </c>
    </row>
    <row r="10" customFormat="false" ht="12.8" hidden="false" customHeight="false" outlineLevel="0" collapsed="false">
      <c r="A10" s="12" t="n">
        <v>8</v>
      </c>
      <c r="B10" s="0" t="s">
        <v>99</v>
      </c>
      <c r="C10" s="12" t="n">
        <v>1</v>
      </c>
      <c r="D10" s="0" t="s">
        <v>96</v>
      </c>
      <c r="E10" s="0" t="s">
        <v>98</v>
      </c>
    </row>
    <row r="11" customFormat="false" ht="12.8" hidden="false" customHeight="false" outlineLevel="0" collapsed="false">
      <c r="A11" s="12" t="n">
        <v>9</v>
      </c>
      <c r="B11" s="0" t="s">
        <v>100</v>
      </c>
      <c r="C11" s="12" t="n">
        <v>2</v>
      </c>
      <c r="D11" s="0" t="s">
        <v>96</v>
      </c>
      <c r="E11" s="0" t="s">
        <v>98</v>
      </c>
    </row>
    <row r="12" customFormat="false" ht="12.8" hidden="false" customHeight="false" outlineLevel="0" collapsed="false">
      <c r="A12" s="12" t="n">
        <v>10</v>
      </c>
      <c r="B12" s="0" t="s">
        <v>101</v>
      </c>
      <c r="C12" s="12" t="n">
        <v>1</v>
      </c>
      <c r="D12" s="0" t="s">
        <v>96</v>
      </c>
      <c r="E12" s="0" t="s">
        <v>102</v>
      </c>
    </row>
    <row r="13" customFormat="false" ht="12.8" hidden="false" customHeight="false" outlineLevel="0" collapsed="false">
      <c r="A13" s="12" t="n">
        <v>11</v>
      </c>
      <c r="B13" s="0" t="s">
        <v>103</v>
      </c>
      <c r="C13" s="12" t="n">
        <v>1</v>
      </c>
      <c r="D13" s="0" t="s">
        <v>96</v>
      </c>
      <c r="E13" s="0" t="s">
        <v>102</v>
      </c>
    </row>
    <row r="14" customFormat="false" ht="12.8" hidden="false" customHeight="false" outlineLevel="0" collapsed="false">
      <c r="A14" s="12" t="n">
        <v>12</v>
      </c>
      <c r="B14" s="0" t="s">
        <v>104</v>
      </c>
      <c r="C14" s="12" t="n">
        <v>1</v>
      </c>
      <c r="D14" s="0" t="s">
        <v>96</v>
      </c>
      <c r="E14" s="0" t="s">
        <v>102</v>
      </c>
    </row>
    <row r="15" customFormat="false" ht="12.8" hidden="false" customHeight="false" outlineLevel="0" collapsed="false">
      <c r="A15" s="12" t="n">
        <v>13</v>
      </c>
      <c r="B15" s="0" t="s">
        <v>105</v>
      </c>
      <c r="C15" s="12" t="n">
        <v>2</v>
      </c>
      <c r="D15" s="0" t="s">
        <v>96</v>
      </c>
    </row>
    <row r="16" customFormat="false" ht="12.8" hidden="false" customHeight="false" outlineLevel="0" collapsed="false">
      <c r="A16" s="12" t="n">
        <v>14</v>
      </c>
      <c r="B16" s="0" t="s">
        <v>106</v>
      </c>
      <c r="C16" s="12" t="n">
        <v>1</v>
      </c>
      <c r="D16" s="0" t="s">
        <v>96</v>
      </c>
    </row>
    <row r="17" customFormat="false" ht="12.8" hidden="false" customHeight="false" outlineLevel="0" collapsed="false">
      <c r="A17" s="12" t="n">
        <v>15</v>
      </c>
      <c r="B17" s="0" t="s">
        <v>107</v>
      </c>
      <c r="C17" s="12" t="n">
        <v>1</v>
      </c>
      <c r="D17" s="0" t="s">
        <v>96</v>
      </c>
    </row>
    <row r="18" customFormat="false" ht="12.8" hidden="false" customHeight="false" outlineLevel="0" collapsed="false">
      <c r="A18" s="12" t="n">
        <v>16</v>
      </c>
      <c r="B18" s="0" t="s">
        <v>108</v>
      </c>
      <c r="C18" s="12" t="n">
        <v>1</v>
      </c>
      <c r="D18" s="0" t="s">
        <v>96</v>
      </c>
    </row>
    <row r="19" customFormat="false" ht="12.8" hidden="false" customHeight="false" outlineLevel="0" collapsed="false">
      <c r="A19" s="12" t="n">
        <v>17</v>
      </c>
      <c r="B19" s="0" t="s">
        <v>109</v>
      </c>
      <c r="C19" s="12" t="n">
        <v>2</v>
      </c>
      <c r="D19" s="0" t="s">
        <v>96</v>
      </c>
    </row>
    <row r="20" customFormat="false" ht="12.8" hidden="false" customHeight="false" outlineLevel="0" collapsed="false">
      <c r="A20" s="12" t="n">
        <v>18</v>
      </c>
      <c r="B20" s="0" t="s">
        <v>110</v>
      </c>
      <c r="C20" s="12" t="n">
        <v>1</v>
      </c>
      <c r="D20" s="0" t="s">
        <v>96</v>
      </c>
    </row>
    <row r="21" customFormat="false" ht="12.8" hidden="false" customHeight="false" outlineLevel="0" collapsed="false">
      <c r="A21" s="12" t="n">
        <v>19</v>
      </c>
      <c r="B21" s="0" t="s">
        <v>111</v>
      </c>
      <c r="C21" s="12" t="n">
        <v>2</v>
      </c>
      <c r="D21" s="0" t="s">
        <v>96</v>
      </c>
    </row>
    <row r="22" customFormat="false" ht="12.8" hidden="false" customHeight="false" outlineLevel="0" collapsed="false">
      <c r="A22" s="12" t="n">
        <v>20</v>
      </c>
      <c r="B22" s="0" t="s">
        <v>112</v>
      </c>
      <c r="C22" s="12" t="n">
        <v>1</v>
      </c>
      <c r="D22" s="0" t="s">
        <v>96</v>
      </c>
    </row>
    <row r="23" customFormat="false" ht="12.8" hidden="false" customHeight="false" outlineLevel="0" collapsed="false">
      <c r="A23" s="12" t="n">
        <v>21</v>
      </c>
      <c r="B23" s="0" t="s">
        <v>113</v>
      </c>
      <c r="C23" s="12" t="n">
        <v>1</v>
      </c>
      <c r="D23" s="0" t="s">
        <v>96</v>
      </c>
    </row>
    <row r="24" customFormat="false" ht="12.8" hidden="false" customHeight="false" outlineLevel="0" collapsed="false">
      <c r="A24" s="12" t="n">
        <v>22</v>
      </c>
      <c r="B24" s="0" t="s">
        <v>114</v>
      </c>
      <c r="C24" s="12" t="n">
        <v>1</v>
      </c>
      <c r="D24" s="0" t="s">
        <v>96</v>
      </c>
      <c r="E24" s="0" t="s">
        <v>115</v>
      </c>
    </row>
    <row r="25" customFormat="false" ht="12.8" hidden="false" customHeight="false" outlineLevel="0" collapsed="false">
      <c r="A25" s="12" t="n">
        <v>23</v>
      </c>
      <c r="B25" s="0" t="s">
        <v>116</v>
      </c>
      <c r="C25" s="12" t="n">
        <v>1</v>
      </c>
      <c r="D25" s="0" t="s">
        <v>96</v>
      </c>
      <c r="E25" s="0" t="s">
        <v>117</v>
      </c>
    </row>
    <row r="26" customFormat="false" ht="12.8" hidden="false" customHeight="false" outlineLevel="0" collapsed="false">
      <c r="A26" s="12" t="n">
        <v>24</v>
      </c>
      <c r="B26" s="0" t="s">
        <v>118</v>
      </c>
      <c r="C26" s="12" t="n">
        <v>2</v>
      </c>
      <c r="D26" s="0" t="s">
        <v>96</v>
      </c>
    </row>
    <row r="27" customFormat="false" ht="12.8" hidden="false" customHeight="false" outlineLevel="0" collapsed="false">
      <c r="A27" s="12"/>
    </row>
    <row r="28" customFormat="false" ht="12.8" hidden="false" customHeight="false" outlineLevel="0" collapsed="false">
      <c r="B28" s="13" t="s">
        <v>119</v>
      </c>
      <c r="C28" s="14" t="n">
        <f aca="false">SUM(C3:C27)</f>
        <v>31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8"/>
  <sheetViews>
    <sheetView showFormulas="false" showGridLines="true" showRowColHeaders="true" showZeros="true" rightToLeft="false" tabSelected="false" showOutlineSymbols="true" defaultGridColor="true" view="normal" topLeftCell="A3" colorId="64" zoomScale="100" zoomScaleNormal="100" zoomScalePageLayoutView="100" workbookViewId="0">
      <selection pane="topLeft" activeCell="A4" activeCellId="0" sqref="A4"/>
    </sheetView>
  </sheetViews>
  <sheetFormatPr defaultColWidth="11.53515625" defaultRowHeight="12.8" zeroHeight="false" outlineLevelRow="0" outlineLevelCol="0"/>
  <sheetData>
    <row r="1" customFormat="false" ht="12.8" hidden="false" customHeight="false" outlineLevel="0" collapsed="false">
      <c r="A1" s="2" t="s">
        <v>120</v>
      </c>
    </row>
    <row r="3" customFormat="false" ht="12.8" hidden="false" customHeight="false" outlineLevel="0" collapsed="false">
      <c r="A3" s="2" t="s">
        <v>121</v>
      </c>
    </row>
    <row r="4" customFormat="false" ht="12.8" hidden="false" customHeight="false" outlineLevel="0" collapsed="false">
      <c r="A4" s="2" t="s">
        <v>122</v>
      </c>
    </row>
    <row r="5" customFormat="false" ht="12.8" hidden="false" customHeight="false" outlineLevel="0" collapsed="false">
      <c r="A5" s="2" t="s">
        <v>123</v>
      </c>
    </row>
    <row r="6" customFormat="false" ht="12.8" hidden="false" customHeight="false" outlineLevel="0" collapsed="false">
      <c r="A6" s="2" t="s">
        <v>124</v>
      </c>
    </row>
    <row r="7" customFormat="false" ht="12.8" hidden="false" customHeight="false" outlineLevel="0" collapsed="false">
      <c r="A7" s="2" t="s">
        <v>125</v>
      </c>
    </row>
    <row r="8" customFormat="false" ht="12.8" hidden="false" customHeight="false" outlineLevel="0" collapsed="false">
      <c r="A8" s="2" t="s">
        <v>126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37286</TotalTime>
  <Application>LibreOffice/7.4.2.3$Windows_X86_64 LibreOffice_project/382eef1f22670f7f4118c8c2dd222ec7ad009daf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2025-12-17T09:30:47Z</dcterms:created>
  <dc:creator/>
  <dc:description/>
  <dc:language>en-GB</dc:language>
  <cp:lastModifiedBy/>
  <dcterms:modified xsi:type="dcterms:W3CDTF">2026-02-03T16:21:37Z</dcterms:modified>
  <cp:revision>79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